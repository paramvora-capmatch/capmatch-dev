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 &amp; 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i val="1"/>
      <sz val="16"/>
    </font>
    <font>
      <b val="1"/>
      <sz val="14"/>
    </font>
    <font>
      <b val="1"/>
      <color rgb="00FFFFFF"/>
    </font>
    <font>
      <b val="1"/>
    </font>
    <font>
      <b val="1"/>
      <u val="single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Sources of Funds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'Sources &amp; Uses'!$B$33:$B$38</f>
            </numRef>
          </cat>
          <val>
            <numRef>
              <f>'Sources &amp; Uses'!$C$33:$C$38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Uses by Category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'Sources &amp; Uses'!$O$3:$O$7</f>
            </numRef>
          </cat>
          <val>
            <numRef>
              <f>'Sources &amp; Uses'!$P$3:$P$7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30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0</row>
      <rowOff>0</rowOff>
    </from>
    <ext cx="5715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30" customWidth="1" min="4" max="4"/>
  </cols>
  <sheetData>
    <row r="1"/>
    <row r="2">
      <c r="B2" s="1" t="inlineStr">
        <is>
          <t>Verified by Capmatch</t>
        </is>
      </c>
      <c r="O2" t="inlineStr">
        <is>
          <t>Category</t>
        </is>
      </c>
      <c r="P2" t="inlineStr">
        <is>
          <t>Total</t>
        </is>
      </c>
    </row>
    <row r="3">
      <c r="O3" t="inlineStr">
        <is>
          <t>Acquisition &amp; Land</t>
        </is>
      </c>
      <c r="P3">
        <f>SUMIF($A$8:$A$27, O3, $C$8:$C$27)</f>
        <v/>
      </c>
    </row>
    <row r="4">
      <c r="O4" t="inlineStr">
        <is>
          <t>Developer Fee</t>
        </is>
      </c>
      <c r="P4">
        <f>SUMIF($A$8:$A$27, O4, $C$8:$C$27)</f>
        <v/>
      </c>
    </row>
    <row r="5">
      <c r="O5" t="inlineStr">
        <is>
          <t>Financial &amp; Reserves</t>
        </is>
      </c>
      <c r="P5">
        <f>SUMIF($A$8:$A$27, O5, $C$8:$C$27)</f>
        <v/>
      </c>
    </row>
    <row r="6">
      <c r="A6" s="2" t="inlineStr">
        <is>
          <t>USES OF FUNDS</t>
        </is>
      </c>
      <c r="O6" t="inlineStr">
        <is>
          <t>Hard Costs</t>
        </is>
      </c>
      <c r="P6">
        <f>SUMIF($A$8:$A$27, O6, $C$8:$C$27)</f>
        <v/>
      </c>
    </row>
    <row r="7">
      <c r="A7" s="3" t="inlineStr">
        <is>
          <t>Category</t>
        </is>
      </c>
      <c r="B7" s="3" t="inlineStr">
        <is>
          <t>Item</t>
        </is>
      </c>
      <c r="C7" s="3" t="inlineStr">
        <is>
          <t>Amount</t>
        </is>
      </c>
      <c r="D7" s="3" t="inlineStr">
        <is>
          <t>Notes</t>
        </is>
      </c>
      <c r="F7" s="4" t="inlineStr">
        <is>
          <t>Key Metrics</t>
        </is>
      </c>
      <c r="O7" t="inlineStr">
        <is>
          <t>Soft Costs</t>
        </is>
      </c>
      <c r="P7">
        <f>SUMIF($A$8:$A$27, O7, $C$8:$C$27)</f>
        <v/>
      </c>
    </row>
    <row r="8">
      <c r="A8" t="inlineStr">
        <is>
          <t>Acquisition &amp; Land</t>
        </is>
      </c>
      <c r="B8" t="inlineStr">
        <is>
          <t>Land Acquisition</t>
        </is>
      </c>
      <c r="C8" s="5" t="n">
        <v>2500000</v>
      </c>
      <c r="D8" t="inlineStr">
        <is>
          <t>Direct</t>
        </is>
      </c>
      <c r="F8" t="inlineStr">
        <is>
          <t>TDC</t>
        </is>
      </c>
      <c r="G8" s="5">
        <f>C28</f>
        <v/>
      </c>
    </row>
    <row r="9">
      <c r="A9" t="inlineStr">
        <is>
          <t>Acquisition &amp; Land</t>
        </is>
      </c>
      <c r="B9" t="inlineStr">
        <is>
          <t>Acquisition Costs</t>
        </is>
      </c>
      <c r="C9" s="5" t="n">
        <v>50000</v>
      </c>
      <c r="D9" t="inlineStr">
        <is>
          <t>Direct</t>
        </is>
      </c>
      <c r="F9" t="inlineStr">
        <is>
          <t>Status</t>
        </is>
      </c>
      <c r="G9">
        <f>IF(ABS(C28-C39)&lt;1, "BALANCED", "IMBALANCED")</f>
        <v/>
      </c>
    </row>
    <row r="10">
      <c r="A10" t="inlineStr">
        <is>
          <t>Acquisition &amp; Land</t>
        </is>
      </c>
      <c r="B10" t="inlineStr">
        <is>
          <t>Payoff Existing Debt</t>
        </is>
      </c>
      <c r="C10" s="5" t="n">
        <v>0</v>
      </c>
      <c r="D10" t="inlineStr">
        <is>
          <t>Direct</t>
        </is>
      </c>
    </row>
    <row r="11">
      <c r="A11" t="inlineStr">
        <is>
          <t>Hard Costs</t>
        </is>
      </c>
      <c r="B11" t="inlineStr">
        <is>
          <t>Base Construction</t>
        </is>
      </c>
      <c r="C11" s="5" t="n">
        <v>12000000</v>
      </c>
      <c r="D11" t="inlineStr">
        <is>
          <t>Direct + 0% Overrun</t>
        </is>
      </c>
    </row>
    <row r="12">
      <c r="A12" t="inlineStr">
        <is>
          <t>Hard Costs</t>
        </is>
      </c>
      <c r="B12" t="inlineStr">
        <is>
          <t>Contingency</t>
        </is>
      </c>
      <c r="C12" s="5" t="n">
        <v>600000</v>
      </c>
      <c r="D12" t="inlineStr">
        <is>
          <t>5.0% of Base Const</t>
        </is>
      </c>
    </row>
    <row r="13">
      <c r="A13" t="inlineStr">
        <is>
          <t>Hard Costs</t>
        </is>
      </c>
      <c r="B13" t="inlineStr">
        <is>
          <t>FF&amp;E</t>
        </is>
      </c>
      <c r="C13" s="5" t="n">
        <v>800000</v>
      </c>
      <c r="D13" t="inlineStr">
        <is>
          <t>Direct</t>
        </is>
      </c>
    </row>
    <row r="14">
      <c r="A14" t="inlineStr">
        <is>
          <t>Hard Costs</t>
        </is>
      </c>
      <c r="B14" t="inlineStr">
        <is>
          <t>Construction Mgmt Fee</t>
        </is>
      </c>
      <c r="C14" s="5" t="n">
        <v>100000</v>
      </c>
      <c r="D14" t="inlineStr">
        <is>
          <t>Direct</t>
        </is>
      </c>
    </row>
    <row r="15">
      <c r="A15" t="inlineStr">
        <is>
          <t>Soft Costs</t>
        </is>
      </c>
      <c r="B15" t="inlineStr">
        <is>
          <t>Soft Costs (General)</t>
        </is>
      </c>
      <c r="C15" s="5" t="n">
        <v>3000000</v>
      </c>
      <c r="D15" t="inlineStr">
        <is>
          <t>Direct</t>
        </is>
      </c>
    </row>
    <row r="16">
      <c r="A16" t="inlineStr">
        <is>
          <t>Soft Costs</t>
        </is>
      </c>
      <c r="B16" t="inlineStr">
        <is>
          <t>A&amp;E Fees</t>
        </is>
      </c>
      <c r="C16" s="5" t="n">
        <v>450000</v>
      </c>
      <c r="D16" t="inlineStr">
        <is>
          <t>Direct</t>
        </is>
      </c>
    </row>
    <row r="17">
      <c r="A17" t="inlineStr">
        <is>
          <t>Soft Costs</t>
        </is>
      </c>
      <c r="B17" t="inlineStr">
        <is>
          <t>Third Party Reports</t>
        </is>
      </c>
      <c r="C17" s="5" t="n">
        <v>15000</v>
      </c>
      <c r="D17" t="inlineStr">
        <is>
          <t>Direct</t>
        </is>
      </c>
    </row>
    <row r="18">
      <c r="A18" t="inlineStr">
        <is>
          <t>Soft Costs</t>
        </is>
      </c>
      <c r="B18" t="inlineStr">
        <is>
          <t>Legal &amp; Org</t>
        </is>
      </c>
      <c r="C18" s="5" t="n">
        <v>75000</v>
      </c>
      <c r="D18" t="inlineStr">
        <is>
          <t>Direct</t>
        </is>
      </c>
    </row>
    <row r="19">
      <c r="A19" t="inlineStr">
        <is>
          <t>Soft Costs</t>
        </is>
      </c>
      <c r="B19" t="inlineStr">
        <is>
          <t>Title &amp; Recording</t>
        </is>
      </c>
      <c r="C19" s="5" t="n">
        <v>40000</v>
      </c>
      <c r="D19" t="inlineStr">
        <is>
          <t>Direct</t>
        </is>
      </c>
    </row>
    <row r="20">
      <c r="A20" t="inlineStr">
        <is>
          <t>Soft Costs</t>
        </is>
      </c>
      <c r="B20" t="inlineStr">
        <is>
          <t>Enviro / Relocation</t>
        </is>
      </c>
      <c r="C20" s="5" t="n">
        <v>0</v>
      </c>
      <c r="D20" t="inlineStr">
        <is>
          <t>Direct</t>
        </is>
      </c>
    </row>
    <row r="21">
      <c r="A21" t="inlineStr">
        <is>
          <t>Financial &amp; Reserves</t>
        </is>
      </c>
      <c r="B21" t="inlineStr">
        <is>
          <t>Interest Reserve</t>
        </is>
      </c>
      <c r="C21" s="5" t="n">
        <v>600000</v>
      </c>
      <c r="D21" t="inlineStr">
        <is>
          <t>Direct (Budget)</t>
        </is>
      </c>
    </row>
    <row r="22">
      <c r="A22" t="inlineStr">
        <is>
          <t>Financial &amp; Reserves</t>
        </is>
      </c>
      <c r="B22" t="inlineStr">
        <is>
          <t>Loan Fees</t>
        </is>
      </c>
      <c r="C22" s="5" t="n">
        <v>195000</v>
      </c>
      <c r="D22" t="inlineStr">
        <is>
          <t>1.5% of Debt</t>
        </is>
      </c>
    </row>
    <row r="23">
      <c r="A23" t="inlineStr">
        <is>
          <t>Financial &amp; Reserves</t>
        </is>
      </c>
      <c r="B23" t="inlineStr">
        <is>
          <t>Transaction Fees</t>
        </is>
      </c>
      <c r="C23" s="5" t="n">
        <v>130000</v>
      </c>
      <c r="D23" t="inlineStr">
        <is>
          <t>1.0% of Debt</t>
        </is>
      </c>
    </row>
    <row r="24">
      <c r="A24" t="inlineStr">
        <is>
          <t>Financial &amp; Reserves</t>
        </is>
      </c>
      <c r="B24" t="inlineStr">
        <is>
          <t>Working Capital</t>
        </is>
      </c>
      <c r="C24" s="5" t="n">
        <v>200000</v>
      </c>
      <c r="D24" t="inlineStr">
        <is>
          <t>6 Months OpEx</t>
        </is>
      </c>
    </row>
    <row r="25">
      <c r="A25" t="inlineStr">
        <is>
          <t>Financial &amp; Reserves</t>
        </is>
      </c>
      <c r="B25" t="inlineStr">
        <is>
          <t>Tax &amp; Ins Reserve</t>
        </is>
      </c>
      <c r="C25" s="5" t="n">
        <v>150000</v>
      </c>
      <c r="D25" t="inlineStr">
        <is>
          <t>9 Months T&amp;I</t>
        </is>
      </c>
    </row>
    <row r="26">
      <c r="A26" t="inlineStr">
        <is>
          <t>Financial &amp; Reserves</t>
        </is>
      </c>
      <c r="B26" t="inlineStr">
        <is>
          <t>Op Deficit Escrow</t>
        </is>
      </c>
      <c r="C26" s="5" t="n">
        <v>25000</v>
      </c>
      <c r="D26" t="inlineStr">
        <is>
          <t>Direct (Projected)</t>
        </is>
      </c>
    </row>
    <row r="27">
      <c r="A27" t="inlineStr">
        <is>
          <t>Developer Fee</t>
        </is>
      </c>
      <c r="B27" t="inlineStr">
        <is>
          <t>Developer Fee</t>
        </is>
      </c>
      <c r="C27" s="5" t="n">
        <v>872083.3333333334</v>
      </c>
      <c r="D27" t="inlineStr">
        <is>
          <t>4.0% of TDC</t>
        </is>
      </c>
    </row>
    <row r="28">
      <c r="B28" s="6" t="inlineStr">
        <is>
          <t>TOTAL USES</t>
        </is>
      </c>
      <c r="C28" s="7">
        <f>SUM(C8:C27)</f>
        <v/>
      </c>
    </row>
    <row r="29"/>
    <row r="30"/>
    <row r="31">
      <c r="A31" s="2" t="inlineStr">
        <is>
          <t>SOURCES OF FUNDS</t>
        </is>
      </c>
    </row>
    <row r="32">
      <c r="A32" s="3" t="inlineStr">
        <is>
          <t>Category</t>
        </is>
      </c>
      <c r="B32" s="3" t="inlineStr">
        <is>
          <t>Item</t>
        </is>
      </c>
      <c r="C32" s="3" t="inlineStr">
        <is>
          <t>Amount</t>
        </is>
      </c>
      <c r="D32" s="3" t="inlineStr">
        <is>
          <t>Notes</t>
        </is>
      </c>
    </row>
    <row r="33">
      <c r="A33" t="inlineStr">
        <is>
          <t>Debt</t>
        </is>
      </c>
      <c r="B33" t="inlineStr">
        <is>
          <t>Senior Loan</t>
        </is>
      </c>
      <c r="C33" s="5" t="n">
        <v>11000000</v>
      </c>
      <c r="D33" t="inlineStr">
        <is>
          <t>Direct</t>
        </is>
      </c>
    </row>
    <row r="34">
      <c r="A34" t="inlineStr">
        <is>
          <t>Debt</t>
        </is>
      </c>
      <c r="B34" t="inlineStr">
        <is>
          <t>Mezzanine Debt</t>
        </is>
      </c>
      <c r="C34" s="5" t="n">
        <v>2000000</v>
      </c>
      <c r="D34" t="inlineStr">
        <is>
          <t>Direct</t>
        </is>
      </c>
    </row>
    <row r="35">
      <c r="A35" t="inlineStr">
        <is>
          <t>Debt</t>
        </is>
      </c>
      <c r="B35" t="inlineStr">
        <is>
          <t>Seller Financing</t>
        </is>
      </c>
      <c r="C35" s="5" t="n">
        <v>0</v>
      </c>
      <c r="D35" t="inlineStr">
        <is>
          <t>Direct</t>
        </is>
      </c>
    </row>
    <row r="36">
      <c r="A36" t="inlineStr">
        <is>
          <t>Equity</t>
        </is>
      </c>
      <c r="B36" t="inlineStr">
        <is>
          <t>Preferred Equity</t>
        </is>
      </c>
      <c r="C36" s="5" t="n">
        <v>1000000</v>
      </c>
      <c r="D36" t="inlineStr">
        <is>
          <t>Direct</t>
        </is>
      </c>
    </row>
    <row r="37">
      <c r="A37" t="inlineStr">
        <is>
          <t>Equity</t>
        </is>
      </c>
      <c r="B37" t="inlineStr">
        <is>
          <t>Grants / Credits</t>
        </is>
      </c>
      <c r="C37" s="5" t="n">
        <v>500000</v>
      </c>
      <c r="D37" t="inlineStr">
        <is>
          <t>Direct</t>
        </is>
      </c>
    </row>
    <row r="38">
      <c r="A38" t="inlineStr">
        <is>
          <t>Equity</t>
        </is>
      </c>
      <c r="B38" t="inlineStr">
        <is>
          <t>Sponsor Equity</t>
        </is>
      </c>
      <c r="C38" s="5" t="n">
        <v>7302083.333333332</v>
      </c>
      <c r="D38" t="inlineStr">
        <is>
          <t>Balancing Plug</t>
        </is>
      </c>
    </row>
    <row r="39">
      <c r="B39" s="6" t="inlineStr">
        <is>
          <t>TOTAL SOURCES</t>
        </is>
      </c>
      <c r="C39" s="7">
        <f>SUM(C33:C38)</f>
        <v/>
      </c>
    </row>
  </sheetData>
  <mergeCells count="1">
    <mergeCell ref="B2:E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2026-01-17T05:29:27Z</dcterms:created>
  <dcterms:modified xmlns:dcterms="http://purl.org/dc/terms/" xmlns:xsi="http://www.w3.org/2001/XMLSchema-instance" xsi:type="dcterms:W3CDTF">2026-01-17T05:29:29Z</dcterms:modified>
</cp:coreProperties>
</file>