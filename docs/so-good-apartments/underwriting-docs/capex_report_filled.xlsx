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i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6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5" customWidth="1" min="9" max="9"/>
    <col width="15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40" customWidth="1" min="17" max="17"/>
  </cols>
  <sheetData>
    <row r="2">
      <c r="B2" s="1" t="inlineStr">
        <is>
          <t>Verified by Capmatch</t>
        </is>
      </c>
      <c r="H2" s="2" t="inlineStr">
        <is>
          <t>Project Name:</t>
        </is>
      </c>
      <c r="I2" t="inlineStr">
        <is>
          <t>Sandbox Tower II</t>
        </is>
      </c>
    </row>
    <row r="3">
      <c r="H3" s="2" t="inlineStr">
        <is>
          <t>Date Created:</t>
        </is>
      </c>
      <c r="I3" t="inlineStr">
        <is>
          <t>2026-01-19</t>
        </is>
      </c>
    </row>
    <row r="4">
      <c r="H4" s="2" t="inlineStr">
        <is>
          <t>Total Units/SF:</t>
        </is>
      </c>
      <c r="I4" t="n">
        <v>120</v>
      </c>
    </row>
    <row r="7">
      <c r="A7" s="3" t="inlineStr">
        <is>
          <t>Category</t>
        </is>
      </c>
      <c r="B7" s="3" t="inlineStr">
        <is>
          <t>Item Description</t>
        </is>
      </c>
      <c r="C7" s="3" t="inlineStr">
        <is>
          <t>Priority</t>
        </is>
      </c>
      <c r="D7" s="3" t="inlineStr">
        <is>
          <t>Condition</t>
        </is>
      </c>
      <c r="E7" s="3" t="inlineStr">
        <is>
          <t>Useful Life (Yrs)</t>
        </is>
      </c>
      <c r="F7" s="3" t="inlineStr">
        <is>
          <t>Start Date</t>
        </is>
      </c>
      <c r="G7" s="3" t="inlineStr">
        <is>
          <t>Completion Date</t>
        </is>
      </c>
      <c r="H7" s="3" t="inlineStr">
        <is>
          <t>Vendor</t>
        </is>
      </c>
      <c r="I7" s="3" t="inlineStr">
        <is>
          <t>Estimated Cost</t>
        </is>
      </c>
      <c r="J7" s="3" t="inlineStr">
        <is>
          <t>Actual Cost</t>
        </is>
      </c>
      <c r="K7" s="3" t="inlineStr">
        <is>
          <t>Variance</t>
        </is>
      </c>
      <c r="L7" s="3" t="inlineStr">
        <is>
          <t>Cost/Unit or SF</t>
        </is>
      </c>
      <c r="M7" s="3" t="inlineStr">
        <is>
          <t>Inflation Factor</t>
        </is>
      </c>
      <c r="N7" s="3" t="inlineStr">
        <is>
          <t>Projected ROI</t>
        </is>
      </c>
      <c r="O7" s="3" t="inlineStr">
        <is>
          <t>Payback (Yrs)</t>
        </is>
      </c>
      <c r="P7" s="3" t="inlineStr">
        <is>
          <t>Status</t>
        </is>
      </c>
      <c r="Q7" s="3" t="inlineStr">
        <is>
          <t>Notes</t>
        </is>
      </c>
    </row>
    <row r="8">
      <c r="A8" s="4" t="inlineStr">
        <is>
          <t>Structural</t>
        </is>
      </c>
      <c r="B8" s="4" t="inlineStr">
        <is>
          <t>Roof Replacement (TPO System)</t>
        </is>
      </c>
      <c r="C8" s="4" t="inlineStr">
        <is>
          <t>Critical</t>
        </is>
      </c>
      <c r="D8" s="4" t="inlineStr">
        <is>
          <t>Poor - End of Life</t>
        </is>
      </c>
      <c r="E8" s="4" t="n">
        <v>20</v>
      </c>
      <c r="F8" s="4" t="inlineStr">
        <is>
          <t>2026-04-01</t>
        </is>
      </c>
      <c r="G8" s="4" t="n"/>
      <c r="H8" s="4" t="n"/>
      <c r="I8" s="5" t="n">
        <v>150000</v>
      </c>
      <c r="J8" s="5" t="n"/>
      <c r="K8" s="5">
        <f>IF(AND(I8="", J8=""), "", IF(J8="", -I8, J8-I8))</f>
        <v/>
      </c>
      <c r="L8" s="5">
        <f>IF(I8="", "", I8/$I$4)</f>
        <v/>
      </c>
      <c r="M8" s="6" t="n">
        <v>1.03</v>
      </c>
      <c r="N8" s="6" t="n"/>
      <c r="O8" s="4" t="n"/>
      <c r="P8" s="4" t="inlineStr">
        <is>
          <t>Planned</t>
        </is>
      </c>
      <c r="Q8" s="4" t="inlineStr">
        <is>
          <t>Current roof has multiple active leaks. Quote from Apex Roofing.</t>
        </is>
      </c>
    </row>
    <row r="9">
      <c r="A9" s="4" t="inlineStr">
        <is>
          <t>Site Work</t>
        </is>
      </c>
      <c r="B9" s="4" t="inlineStr">
        <is>
          <t>Parking Lot Resurfacing &amp; Striping</t>
        </is>
      </c>
      <c r="C9" s="4" t="inlineStr">
        <is>
          <t>Medium</t>
        </is>
      </c>
      <c r="D9" s="4" t="inlineStr">
        <is>
          <t>Fair</t>
        </is>
      </c>
      <c r="E9" s="4" t="n">
        <v>10</v>
      </c>
      <c r="F9" s="4" t="inlineStr">
        <is>
          <t>2026-06-15</t>
        </is>
      </c>
      <c r="G9" s="4" t="n"/>
      <c r="H9" s="4" t="n"/>
      <c r="I9" s="5" t="n">
        <v>45000</v>
      </c>
      <c r="J9" s="5" t="n"/>
      <c r="K9" s="5">
        <f>IF(AND(I9="", J9=""), "", IF(J9="", -I9, J9-I9))</f>
        <v/>
      </c>
      <c r="L9" s="5">
        <f>IF(I9="", "", I9/$I$4)</f>
        <v/>
      </c>
      <c r="M9" s="6" t="n">
        <v>1.03</v>
      </c>
      <c r="N9" s="6" t="n"/>
      <c r="O9" s="4" t="n"/>
      <c r="P9" s="4" t="inlineStr">
        <is>
          <t>Planned</t>
        </is>
      </c>
      <c r="Q9" s="4" t="inlineStr">
        <is>
          <t>Fill cracks and sealcoat. Add accessible spaces.</t>
        </is>
      </c>
    </row>
    <row r="10">
      <c r="A10" s="4" t="inlineStr">
        <is>
          <t>Interiors</t>
        </is>
      </c>
      <c r="B10" s="4" t="inlineStr">
        <is>
          <t>Unit Renovations (Phase 1 - 20 Units)</t>
        </is>
      </c>
      <c r="C10" s="4" t="inlineStr">
        <is>
          <t>High</t>
        </is>
      </c>
      <c r="D10" s="4" t="inlineStr">
        <is>
          <t>Dated</t>
        </is>
      </c>
      <c r="E10" s="4" t="n">
        <v>15</v>
      </c>
      <c r="F10" s="4" t="inlineStr">
        <is>
          <t>2026-02-01</t>
        </is>
      </c>
      <c r="G10" s="4" t="inlineStr">
        <is>
          <t>2026-08-01</t>
        </is>
      </c>
      <c r="H10" s="4" t="inlineStr">
        <is>
          <t>Creative Interiors LLC</t>
        </is>
      </c>
      <c r="I10" s="5" t="n">
        <v>240000</v>
      </c>
      <c r="J10" s="5" t="n"/>
      <c r="K10" s="5">
        <f>IF(AND(I10="", J10=""), "", IF(J10="", -I10, J10-I10))</f>
        <v/>
      </c>
      <c r="L10" s="5">
        <f>IF(I10="", "", I10/$I$4)</f>
        <v/>
      </c>
      <c r="M10" s="6" t="n">
        <v>1.03</v>
      </c>
      <c r="N10" s="6" t="n"/>
      <c r="O10" s="4" t="n"/>
      <c r="P10" s="4" t="inlineStr">
        <is>
          <t>In Progress</t>
        </is>
      </c>
      <c r="Q10" s="4" t="inlineStr">
        <is>
          <t>New LVP flooring, stainless appliances, quartz countertops. Expected $250 premium/unit.</t>
        </is>
      </c>
    </row>
    <row r="11">
      <c r="A11" s="4" t="inlineStr">
        <is>
          <t>Mechanical</t>
        </is>
      </c>
      <c r="B11" s="4" t="inlineStr">
        <is>
          <t>Boiler System Replacement</t>
        </is>
      </c>
      <c r="C11" s="4" t="inlineStr">
        <is>
          <t>Critical</t>
        </is>
      </c>
      <c r="D11" s="4" t="inlineStr">
        <is>
          <t>Poor</t>
        </is>
      </c>
      <c r="E11" s="4" t="n">
        <v>25</v>
      </c>
      <c r="F11" s="4" t="inlineStr">
        <is>
          <t>2026-09-01</t>
        </is>
      </c>
      <c r="G11" s="4" t="n"/>
      <c r="H11" s="4" t="n"/>
      <c r="I11" s="5" t="n">
        <v>85000</v>
      </c>
      <c r="J11" s="5" t="n"/>
      <c r="K11" s="5">
        <f>IF(AND(I11="", J11=""), "", IF(J11="", -I11, J11-I11))</f>
        <v/>
      </c>
      <c r="L11" s="5">
        <f>IF(I11="", "", I11/$I$4)</f>
        <v/>
      </c>
      <c r="M11" s="6" t="n">
        <v>1.03</v>
      </c>
      <c r="N11" s="6" t="n"/>
      <c r="O11" s="4" t="n"/>
      <c r="P11" s="4" t="inlineStr">
        <is>
          <t>Planned</t>
        </is>
      </c>
      <c r="Q11" s="4" t="inlineStr">
        <is>
          <t>Original 1990 system. Efficiency rating &lt; 80%.</t>
        </is>
      </c>
    </row>
    <row r="12">
      <c r="A12" s="4" t="inlineStr">
        <is>
          <t>Electrical</t>
        </is>
      </c>
      <c r="B12" s="4" t="inlineStr">
        <is>
          <t>Common Area LED Lighting Retrofit</t>
        </is>
      </c>
      <c r="C12" s="4" t="inlineStr">
        <is>
          <t>Low</t>
        </is>
      </c>
      <c r="D12" s="4" t="inlineStr">
        <is>
          <t>Functional</t>
        </is>
      </c>
      <c r="E12" s="4" t="n"/>
      <c r="F12" s="4" t="inlineStr">
        <is>
          <t>2026-03-01</t>
        </is>
      </c>
      <c r="G12" s="4" t="n"/>
      <c r="H12" s="4" t="n"/>
      <c r="I12" s="5" t="n">
        <v>12000</v>
      </c>
      <c r="J12" s="5" t="n"/>
      <c r="K12" s="5">
        <f>IF(AND(I12="", J12=""), "", IF(J12="", -I12, J12-I12))</f>
        <v/>
      </c>
      <c r="L12" s="5">
        <f>IF(I12="", "", I12/$I$4)</f>
        <v/>
      </c>
      <c r="M12" s="6" t="n">
        <v>1.03</v>
      </c>
      <c r="N12" s="6" t="n"/>
      <c r="O12" s="4" t="n"/>
      <c r="P12" s="4" t="inlineStr">
        <is>
          <t>Planned</t>
        </is>
      </c>
      <c r="Q12" s="4" t="inlineStr">
        <is>
          <t>Energy saving initiative. Estimated 1.5 year payback.</t>
        </is>
      </c>
    </row>
    <row r="13">
      <c r="A13" s="4" t="inlineStr">
        <is>
          <t>Amenities</t>
        </is>
      </c>
      <c r="B13" s="4" t="inlineStr">
        <is>
          <t>Pool Deck Concrete Repair</t>
        </is>
      </c>
      <c r="C13" s="4" t="inlineStr">
        <is>
          <t>Medium</t>
        </is>
      </c>
      <c r="D13" s="4" t="inlineStr">
        <is>
          <t>Fair - Cracking</t>
        </is>
      </c>
      <c r="E13" s="4" t="n"/>
      <c r="F13" s="4" t="inlineStr">
        <is>
          <t>2026-05-01</t>
        </is>
      </c>
      <c r="G13" s="4" t="n"/>
      <c r="H13" s="4" t="n"/>
      <c r="I13" s="5" t="n">
        <v>18000</v>
      </c>
      <c r="J13" s="5" t="n"/>
      <c r="K13" s="5">
        <f>IF(AND(I13="", J13=""), "", IF(J13="", -I13, J13-I13))</f>
        <v/>
      </c>
      <c r="L13" s="5">
        <f>IF(I13="", "", I13/$I$4)</f>
        <v/>
      </c>
      <c r="M13" s="6" t="n">
        <v>1.03</v>
      </c>
      <c r="N13" s="6" t="n"/>
      <c r="O13" s="4" t="n"/>
      <c r="P13" s="4" t="inlineStr">
        <is>
          <t>Planned</t>
        </is>
      </c>
      <c r="Q13" s="4" t="inlineStr">
        <is>
          <t>Tripping hazards noted in annual inspection.</t>
        </is>
      </c>
    </row>
    <row r="14">
      <c r="A14" s="4" t="inlineStr">
        <is>
          <t>Exterior</t>
        </is>
      </c>
      <c r="B14" s="4" t="inlineStr">
        <is>
          <t>Exterior Painting (Full Building)</t>
        </is>
      </c>
      <c r="C14" s="4" t="inlineStr">
        <is>
          <t>Medium</t>
        </is>
      </c>
      <c r="D14" s="4" t="inlineStr">
        <is>
          <t>Fair - Fading</t>
        </is>
      </c>
      <c r="E14" s="4" t="n"/>
      <c r="F14" s="4" t="inlineStr">
        <is>
          <t>2027-04-01</t>
        </is>
      </c>
      <c r="G14" s="4" t="n"/>
      <c r="H14" s="4" t="n"/>
      <c r="I14" s="5" t="n">
        <v>95000</v>
      </c>
      <c r="J14" s="5" t="n"/>
      <c r="K14" s="5">
        <f>IF(AND(I14="", J14=""), "", IF(J14="", -I14, J14-I14))</f>
        <v/>
      </c>
      <c r="L14" s="5">
        <f>IF(I14="", "", I14/$I$4)</f>
        <v/>
      </c>
      <c r="M14" s="6" t="n">
        <v>1.03</v>
      </c>
      <c r="N14" s="6" t="n"/>
      <c r="O14" s="4" t="n"/>
      <c r="P14" s="4" t="inlineStr">
        <is>
          <t>Planned</t>
        </is>
      </c>
      <c r="Q14" s="4" t="inlineStr">
        <is>
          <t>Refresh curb appeal. 7-year cycle.</t>
        </is>
      </c>
    </row>
    <row r="15">
      <c r="A15" s="4" t="inlineStr">
        <is>
          <t>Mechanical</t>
        </is>
      </c>
      <c r="B15" s="4" t="inlineStr">
        <is>
          <t>Elevator Cab Modernization (2 Cabs)</t>
        </is>
      </c>
      <c r="C15" s="4" t="inlineStr">
        <is>
          <t>High</t>
        </is>
      </c>
      <c r="D15" s="4" t="inlineStr">
        <is>
          <t>Fair</t>
        </is>
      </c>
      <c r="E15" s="4" t="n">
        <v>20</v>
      </c>
      <c r="F15" s="4" t="inlineStr">
        <is>
          <t>2026-10-01</t>
        </is>
      </c>
      <c r="G15" s="4" t="n"/>
      <c r="H15" s="4" t="n"/>
      <c r="I15" s="5" t="n">
        <v>110000</v>
      </c>
      <c r="J15" s="5" t="n"/>
      <c r="K15" s="5">
        <f>IF(AND(I15="", J15=""), "", IF(J15="", -I15, J15-I15))</f>
        <v/>
      </c>
      <c r="L15" s="5">
        <f>IF(I15="", "", I15/$I$4)</f>
        <v/>
      </c>
      <c r="M15" s="6" t="n">
        <v>1.03</v>
      </c>
      <c r="N15" s="6" t="n"/>
      <c r="O15" s="4" t="n"/>
      <c r="P15" s="4" t="inlineStr">
        <is>
          <t>Planned</t>
        </is>
      </c>
      <c r="Q15" s="4" t="inlineStr">
        <is>
          <t>Cosmetic and control system upgrade. Reduce downtime.</t>
        </is>
      </c>
    </row>
    <row r="16">
      <c r="A16" s="4" t="inlineStr">
        <is>
          <t>Interiors</t>
        </is>
      </c>
      <c r="B16" s="4" t="inlineStr">
        <is>
          <t>Lobby Furniture Refresh</t>
        </is>
      </c>
      <c r="C16" s="4" t="inlineStr">
        <is>
          <t>Low</t>
        </is>
      </c>
      <c r="D16" s="4" t="inlineStr">
        <is>
          <t>Good</t>
        </is>
      </c>
      <c r="E16" s="4" t="n"/>
      <c r="F16" s="4" t="inlineStr">
        <is>
          <t>2026-07-01</t>
        </is>
      </c>
      <c r="G16" s="4" t="n"/>
      <c r="H16" s="4" t="n"/>
      <c r="I16" s="5" t="n">
        <v>15000</v>
      </c>
      <c r="J16" s="5" t="n"/>
      <c r="K16" s="5">
        <f>IF(AND(I16="", J16=""), "", IF(J16="", -I16, J16-I16))</f>
        <v/>
      </c>
      <c r="L16" s="5">
        <f>IF(I16="", "", I16/$I$4)</f>
        <v/>
      </c>
      <c r="M16" s="6" t="n">
        <v>1.03</v>
      </c>
      <c r="N16" s="6" t="n"/>
      <c r="O16" s="4" t="n"/>
      <c r="P16" s="4" t="inlineStr">
        <is>
          <t>Planned</t>
        </is>
      </c>
      <c r="Q16" s="4" t="inlineStr">
        <is>
          <t>Modernize entry experience.</t>
        </is>
      </c>
    </row>
    <row r="17">
      <c r="A17" s="4" t="inlineStr">
        <is>
          <t>Plumbing</t>
        </is>
      </c>
      <c r="B17" s="4" t="inlineStr">
        <is>
          <t>Sump Pump Replacement</t>
        </is>
      </c>
      <c r="C17" s="4" t="inlineStr">
        <is>
          <t>Critical</t>
        </is>
      </c>
      <c r="D17" s="4" t="inlineStr">
        <is>
          <t>Poor</t>
        </is>
      </c>
      <c r="E17" s="4" t="n"/>
      <c r="F17" s="4" t="inlineStr">
        <is>
          <t>2026-01-25</t>
        </is>
      </c>
      <c r="G17" s="4" t="n"/>
      <c r="H17" s="4" t="inlineStr">
        <is>
          <t>Rooter Pro</t>
        </is>
      </c>
      <c r="I17" s="5" t="n">
        <v>4500</v>
      </c>
      <c r="J17" s="5" t="n">
        <v>4800</v>
      </c>
      <c r="K17" s="5">
        <f>IF(AND(I17="", J17=""), "", IF(J17="", -I17, J17-I17))</f>
        <v/>
      </c>
      <c r="L17" s="5">
        <f>IF(I17="", "", I17/$I$4)</f>
        <v/>
      </c>
      <c r="M17" s="6" t="n">
        <v>1.03</v>
      </c>
      <c r="N17" s="6" t="n"/>
      <c r="O17" s="4" t="n"/>
      <c r="P17" s="4" t="inlineStr">
        <is>
          <t>Completed</t>
        </is>
      </c>
      <c r="Q17" s="4" t="inlineStr">
        <is>
          <t>Emergency replacement after heavy rain.</t>
        </is>
      </c>
    </row>
    <row r="18">
      <c r="A18" s="4" t="inlineStr">
        <is>
          <t>Life Safety</t>
        </is>
      </c>
      <c r="B18" s="4" t="inlineStr">
        <is>
          <t>Fire Alarm Panel Upgrade</t>
        </is>
      </c>
      <c r="C18" s="4" t="inlineStr">
        <is>
          <t>Critical</t>
        </is>
      </c>
      <c r="D18" s="4" t="inlineStr">
        <is>
          <t>End of Life</t>
        </is>
      </c>
      <c r="E18" s="4" t="n"/>
      <c r="F18" s="4" t="inlineStr">
        <is>
          <t>2026-03-15</t>
        </is>
      </c>
      <c r="G18" s="4" t="n"/>
      <c r="H18" s="4" t="n"/>
      <c r="I18" s="5" t="n">
        <v>28000</v>
      </c>
      <c r="J18" s="5" t="n"/>
      <c r="K18" s="5">
        <f>IF(AND(I18="", J18=""), "", IF(J18="", -I18, J18-I18))</f>
        <v/>
      </c>
      <c r="L18" s="5">
        <f>IF(I18="", "", I18/$I$4)</f>
        <v/>
      </c>
      <c r="M18" s="6" t="n">
        <v>1.03</v>
      </c>
      <c r="N18" s="6" t="n"/>
      <c r="O18" s="4" t="n"/>
      <c r="P18" s="4" t="inlineStr">
        <is>
          <t>Planned</t>
        </is>
      </c>
      <c r="Q18" s="4" t="inlineStr">
        <is>
          <t>Required for code compliance.</t>
        </is>
      </c>
    </row>
    <row r="19">
      <c r="A19" s="4" t="inlineStr">
        <is>
          <t>Amenities</t>
        </is>
      </c>
      <c r="B19" s="4" t="inlineStr">
        <is>
          <t>Fitness Center Equipment</t>
        </is>
      </c>
      <c r="C19" s="4" t="inlineStr">
        <is>
          <t>Low</t>
        </is>
      </c>
      <c r="D19" s="4" t="inlineStr">
        <is>
          <t>Fair</t>
        </is>
      </c>
      <c r="E19" s="4" t="n"/>
      <c r="F19" s="4" t="inlineStr">
        <is>
          <t>2027-01-01</t>
        </is>
      </c>
      <c r="G19" s="4" t="n"/>
      <c r="H19" s="4" t="n"/>
      <c r="I19" s="5" t="n">
        <v>35000</v>
      </c>
      <c r="J19" s="5" t="n"/>
      <c r="K19" s="5">
        <f>IF(AND(I19="", J19=""), "", IF(J19="", -I19, J19-I19))</f>
        <v/>
      </c>
      <c r="L19" s="5">
        <f>IF(I19="", "", I19/$I$4)</f>
        <v/>
      </c>
      <c r="M19" s="6" t="n">
        <v>1.03</v>
      </c>
      <c r="N19" s="6" t="n"/>
      <c r="O19" s="4" t="n"/>
      <c r="P19" s="4" t="inlineStr">
        <is>
          <t>Planned</t>
        </is>
      </c>
      <c r="Q19" s="4" t="inlineStr">
        <is>
          <t>Add Peloton bikes and new treads.</t>
        </is>
      </c>
    </row>
    <row r="20">
      <c r="A20" s="4" t="inlineStr">
        <is>
          <t>Site Work</t>
        </is>
      </c>
      <c r="B20" s="4" t="inlineStr">
        <is>
          <t>Landscape Irrigation Repair</t>
        </is>
      </c>
      <c r="C20" s="4" t="inlineStr">
        <is>
          <t>Medium</t>
        </is>
      </c>
      <c r="D20" s="4" t="inlineStr">
        <is>
          <t>Poor</t>
        </is>
      </c>
      <c r="E20" s="4" t="n"/>
      <c r="F20" s="4" t="inlineStr">
        <is>
          <t>2026-05-01</t>
        </is>
      </c>
      <c r="G20" s="4" t="n"/>
      <c r="H20" s="4" t="n"/>
      <c r="I20" s="5" t="n">
        <v>6000</v>
      </c>
      <c r="J20" s="5" t="n"/>
      <c r="K20" s="5">
        <f>IF(AND(I20="", J20=""), "", IF(J20="", -I20, J20-I20))</f>
        <v/>
      </c>
      <c r="L20" s="5">
        <f>IF(I20="", "", I20/$I$4)</f>
        <v/>
      </c>
      <c r="M20" s="6" t="n">
        <v>1.03</v>
      </c>
      <c r="N20" s="6" t="n"/>
      <c r="O20" s="4" t="n"/>
      <c r="P20" s="4" t="inlineStr">
        <is>
          <t>Planned</t>
        </is>
      </c>
      <c r="Q20" s="4" t="inlineStr">
        <is>
          <t>Fix broken heads and controller.</t>
        </is>
      </c>
    </row>
    <row r="21">
      <c r="A21" s="4" t="inlineStr">
        <is>
          <t>Exterior</t>
        </is>
      </c>
      <c r="B21" s="4" t="inlineStr">
        <is>
          <t>Window Seal Replacements (South Side)</t>
        </is>
      </c>
      <c r="C21" s="4" t="inlineStr">
        <is>
          <t>Low</t>
        </is>
      </c>
      <c r="D21" s="4" t="inlineStr">
        <is>
          <t>Fair</t>
        </is>
      </c>
      <c r="E21" s="4" t="n"/>
      <c r="F21" s="4" t="inlineStr">
        <is>
          <t>2027-06-01</t>
        </is>
      </c>
      <c r="G21" s="4" t="n"/>
      <c r="H21" s="4" t="n"/>
      <c r="I21" s="5" t="n">
        <v>22000</v>
      </c>
      <c r="J21" s="5" t="n"/>
      <c r="K21" s="5">
        <f>IF(AND(I21="", J21=""), "", IF(J21="", -I21, J21-I21))</f>
        <v/>
      </c>
      <c r="L21" s="5">
        <f>IF(I21="", "", I21/$I$4)</f>
        <v/>
      </c>
      <c r="M21" s="6" t="n">
        <v>1.03</v>
      </c>
      <c r="N21" s="6" t="n"/>
      <c r="O21" s="4" t="n"/>
      <c r="P21" s="4" t="inlineStr">
        <is>
          <t>Planned</t>
        </is>
      </c>
      <c r="Q21" s="4" t="inlineStr">
        <is>
          <t>Fogged glass in 15 units.</t>
        </is>
      </c>
    </row>
    <row r="22">
      <c r="A22" s="4" t="inlineStr">
        <is>
          <t>Marketing</t>
        </is>
      </c>
      <c r="B22" s="4" t="inlineStr">
        <is>
          <t>Monument Signage Upgrade</t>
        </is>
      </c>
      <c r="C22" s="4" t="inlineStr">
        <is>
          <t>Low</t>
        </is>
      </c>
      <c r="D22" s="4" t="inlineStr">
        <is>
          <t>Dated</t>
        </is>
      </c>
      <c r="E22" s="4" t="n"/>
      <c r="F22" s="4" t="inlineStr">
        <is>
          <t>2026-08-15</t>
        </is>
      </c>
      <c r="G22" s="4" t="n"/>
      <c r="H22" s="4" t="n"/>
      <c r="I22" s="5" t="n">
        <v>12500</v>
      </c>
      <c r="J22" s="5" t="n"/>
      <c r="K22" s="5">
        <f>IF(AND(I22="", J22=""), "", IF(J22="", -I22, J22-I22))</f>
        <v/>
      </c>
      <c r="L22" s="5">
        <f>IF(I22="", "", I22/$I$4)</f>
        <v/>
      </c>
      <c r="M22" s="6" t="n">
        <v>1.03</v>
      </c>
      <c r="N22" s="6" t="n"/>
      <c r="O22" s="4" t="n"/>
      <c r="P22" s="4" t="inlineStr">
        <is>
          <t>Planned</t>
        </is>
      </c>
      <c r="Q22" s="4" t="inlineStr">
        <is>
          <t>Rebranding with new logo.</t>
        </is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5" t="n"/>
      <c r="J23" s="5" t="n"/>
      <c r="K23" s="5">
        <f>IF(AND(I23="", J23=""), "", IF(J23="", -I23, J23-I23))</f>
        <v/>
      </c>
      <c r="L23" s="5">
        <f>IF(I23="", "", I23/$I$4)</f>
        <v/>
      </c>
      <c r="M23" s="6" t="n">
        <v>1.03</v>
      </c>
      <c r="N23" s="6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5" t="n"/>
      <c r="J24" s="5" t="n"/>
      <c r="K24" s="5">
        <f>IF(AND(I24="", J24=""), "", IF(J24="", -I24, J24-I24))</f>
        <v/>
      </c>
      <c r="L24" s="5">
        <f>IF(I24="", "", I24/$I$4)</f>
        <v/>
      </c>
      <c r="M24" s="6" t="n">
        <v>1.03</v>
      </c>
      <c r="N24" s="6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5" t="n"/>
      <c r="J25" s="5" t="n"/>
      <c r="K25" s="5">
        <f>IF(AND(I25="", J25=""), "", IF(J25="", -I25, J25-I25))</f>
        <v/>
      </c>
      <c r="L25" s="5">
        <f>IF(I25="", "", I25/$I$4)</f>
        <v/>
      </c>
      <c r="M25" s="6" t="n">
        <v>1.03</v>
      </c>
      <c r="N25" s="6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5" t="n"/>
      <c r="J26" s="5" t="n"/>
      <c r="K26" s="5">
        <f>IF(AND(I26="", J26=""), "", IF(J26="", -I26, J26-I26))</f>
        <v/>
      </c>
      <c r="L26" s="5">
        <f>IF(I26="", "", I26/$I$4)</f>
        <v/>
      </c>
      <c r="M26" s="6" t="n">
        <v>1.03</v>
      </c>
      <c r="N26" s="6" t="n"/>
      <c r="O26" s="4" t="n"/>
      <c r="P26" s="4" t="n"/>
      <c r="Q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5" t="n"/>
      <c r="J27" s="5" t="n"/>
      <c r="K27" s="5">
        <f>IF(AND(I27="", J27=""), "", IF(J27="", -I27, J27-I27))</f>
        <v/>
      </c>
      <c r="L27" s="5">
        <f>IF(I27="", "", I27/$I$4)</f>
        <v/>
      </c>
      <c r="M27" s="6" t="n">
        <v>1.03</v>
      </c>
      <c r="N27" s="6" t="n"/>
      <c r="O27" s="4" t="n"/>
      <c r="P27" s="4" t="n"/>
      <c r="Q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5" t="n"/>
      <c r="J28" s="5" t="n"/>
      <c r="K28" s="5">
        <f>IF(AND(I28="", J28=""), "", IF(J28="", -I28, J28-I28))</f>
        <v/>
      </c>
      <c r="L28" s="5">
        <f>IF(I28="", "", I28/$I$4)</f>
        <v/>
      </c>
      <c r="M28" s="6" t="n">
        <v>1.03</v>
      </c>
      <c r="N28" s="6" t="n"/>
      <c r="O28" s="4" t="n"/>
      <c r="P28" s="4" t="n"/>
      <c r="Q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5" t="n"/>
      <c r="J29" s="5" t="n"/>
      <c r="K29" s="5">
        <f>IF(AND(I29="", J29=""), "", IF(J29="", -I29, J29-I29))</f>
        <v/>
      </c>
      <c r="L29" s="5">
        <f>IF(I29="", "", I29/$I$4)</f>
        <v/>
      </c>
      <c r="M29" s="6" t="n">
        <v>1.03</v>
      </c>
      <c r="N29" s="6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5" t="n"/>
      <c r="J30" s="5" t="n"/>
      <c r="K30" s="5">
        <f>IF(AND(I30="", J30=""), "", IF(J30="", -I30, J30-I30))</f>
        <v/>
      </c>
      <c r="L30" s="5">
        <f>IF(I30="", "", I30/$I$4)</f>
        <v/>
      </c>
      <c r="M30" s="6" t="n">
        <v>1.03</v>
      </c>
      <c r="N30" s="6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5" t="n"/>
      <c r="J31" s="5" t="n"/>
      <c r="K31" s="5">
        <f>IF(AND(I31="", J31=""), "", IF(J31="", -I31, J31-I31))</f>
        <v/>
      </c>
      <c r="L31" s="5">
        <f>IF(I31="", "", I31/$I$4)</f>
        <v/>
      </c>
      <c r="M31" s="6" t="n">
        <v>1.03</v>
      </c>
      <c r="N31" s="6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5" t="n"/>
      <c r="J32" s="5" t="n"/>
      <c r="K32" s="5">
        <f>IF(AND(I32="", J32=""), "", IF(J32="", -I32, J32-I32))</f>
        <v/>
      </c>
      <c r="L32" s="5">
        <f>IF(I32="", "", I32/$I$4)</f>
        <v/>
      </c>
      <c r="M32" s="6" t="n">
        <v>1.03</v>
      </c>
      <c r="N32" s="6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5" t="n"/>
      <c r="J33" s="5" t="n"/>
      <c r="K33" s="5">
        <f>IF(AND(I33="", J33=""), "", IF(J33="", -I33, J33-I33))</f>
        <v/>
      </c>
      <c r="L33" s="5">
        <f>IF(I33="", "", I33/$I$4)</f>
        <v/>
      </c>
      <c r="M33" s="6" t="n">
        <v>1.03</v>
      </c>
      <c r="N33" s="6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5" t="n"/>
      <c r="J34" s="5" t="n"/>
      <c r="K34" s="5">
        <f>IF(AND(I34="", J34=""), "", IF(J34="", -I34, J34-I34))</f>
        <v/>
      </c>
      <c r="L34" s="5">
        <f>IF(I34="", "", I34/$I$4)</f>
        <v/>
      </c>
      <c r="M34" s="6" t="n">
        <v>1.03</v>
      </c>
      <c r="N34" s="6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5" t="n"/>
      <c r="J35" s="5" t="n"/>
      <c r="K35" s="5">
        <f>IF(AND(I35="", J35=""), "", IF(J35="", -I35, J35-I35))</f>
        <v/>
      </c>
      <c r="L35" s="5">
        <f>IF(I35="", "", I35/$I$4)</f>
        <v/>
      </c>
      <c r="M35" s="6" t="n">
        <v>1.03</v>
      </c>
      <c r="N35" s="6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5" t="n"/>
      <c r="J36" s="5" t="n"/>
      <c r="K36" s="5">
        <f>IF(AND(I36="", J36=""), "", IF(J36="", -I36, J36-I36))</f>
        <v/>
      </c>
      <c r="L36" s="5">
        <f>IF(I36="", "", I36/$I$4)</f>
        <v/>
      </c>
      <c r="M36" s="6" t="n">
        <v>1.03</v>
      </c>
      <c r="N36" s="6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5" t="n"/>
      <c r="J37" s="5" t="n"/>
      <c r="K37" s="5">
        <f>IF(AND(I37="", J37=""), "", IF(J37="", -I37, J37-I37))</f>
        <v/>
      </c>
      <c r="L37" s="5">
        <f>IF(I37="", "", I37/$I$4)</f>
        <v/>
      </c>
      <c r="M37" s="6" t="n">
        <v>1.03</v>
      </c>
      <c r="N37" s="6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5" t="n"/>
      <c r="J38" s="5" t="n"/>
      <c r="K38" s="5">
        <f>IF(AND(I38="", J38=""), "", IF(J38="", -I38, J38-I38))</f>
        <v/>
      </c>
      <c r="L38" s="5">
        <f>IF(I38="", "", I38/$I$4)</f>
        <v/>
      </c>
      <c r="M38" s="6" t="n">
        <v>1.03</v>
      </c>
      <c r="N38" s="6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5" t="n"/>
      <c r="J39" s="5" t="n"/>
      <c r="K39" s="5">
        <f>IF(AND(I39="", J39=""), "", IF(J39="", -I39, J39-I39))</f>
        <v/>
      </c>
      <c r="L39" s="5">
        <f>IF(I39="", "", I39/$I$4)</f>
        <v/>
      </c>
      <c r="M39" s="6" t="n">
        <v>1.03</v>
      </c>
      <c r="N39" s="6" t="n"/>
      <c r="O39" s="4" t="n"/>
      <c r="P39" s="4" t="n"/>
      <c r="Q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5" t="n"/>
      <c r="J40" s="5" t="n"/>
      <c r="K40" s="5">
        <f>IF(AND(I40="", J40=""), "", IF(J40="", -I40, J40-I40))</f>
        <v/>
      </c>
      <c r="L40" s="5">
        <f>IF(I40="", "", I40/$I$4)</f>
        <v/>
      </c>
      <c r="M40" s="6" t="n">
        <v>1.03</v>
      </c>
      <c r="N40" s="6" t="n"/>
      <c r="O40" s="4" t="n"/>
      <c r="P40" s="4" t="n"/>
      <c r="Q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5" t="n"/>
      <c r="J41" s="5" t="n"/>
      <c r="K41" s="5">
        <f>IF(AND(I41="", J41=""), "", IF(J41="", -I41, J41-I41))</f>
        <v/>
      </c>
      <c r="L41" s="5">
        <f>IF(I41="", "", I41/$I$4)</f>
        <v/>
      </c>
      <c r="M41" s="6" t="n">
        <v>1.03</v>
      </c>
      <c r="N41" s="6" t="n"/>
      <c r="O41" s="4" t="n"/>
      <c r="P41" s="4" t="n"/>
      <c r="Q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5" t="n"/>
      <c r="J42" s="5" t="n"/>
      <c r="K42" s="5">
        <f>IF(AND(I42="", J42=""), "", IF(J42="", -I42, J42-I42))</f>
        <v/>
      </c>
      <c r="L42" s="5">
        <f>IF(I42="", "", I42/$I$4)</f>
        <v/>
      </c>
      <c r="M42" s="6" t="n">
        <v>1.03</v>
      </c>
      <c r="N42" s="6" t="n"/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5" t="n"/>
      <c r="J43" s="5" t="n"/>
      <c r="K43" s="5">
        <f>IF(AND(I43="", J43=""), "", IF(J43="", -I43, J43-I43))</f>
        <v/>
      </c>
      <c r="L43" s="5">
        <f>IF(I43="", "", I43/$I$4)</f>
        <v/>
      </c>
      <c r="M43" s="6" t="n">
        <v>1.03</v>
      </c>
      <c r="N43" s="6" t="n"/>
      <c r="O43" s="4" t="n"/>
      <c r="P43" s="4" t="n"/>
      <c r="Q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5" t="n"/>
      <c r="J44" s="5" t="n"/>
      <c r="K44" s="5">
        <f>IF(AND(I44="", J44=""), "", IF(J44="", -I44, J44-I44))</f>
        <v/>
      </c>
      <c r="L44" s="5">
        <f>IF(I44="", "", I44/$I$4)</f>
        <v/>
      </c>
      <c r="M44" s="6" t="n">
        <v>1.03</v>
      </c>
      <c r="N44" s="6" t="n"/>
      <c r="O44" s="4" t="n"/>
      <c r="P44" s="4" t="n"/>
      <c r="Q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5" t="n"/>
      <c r="J45" s="5" t="n"/>
      <c r="K45" s="5">
        <f>IF(AND(I45="", J45=""), "", IF(J45="", -I45, J45-I45))</f>
        <v/>
      </c>
      <c r="L45" s="5">
        <f>IF(I45="", "", I45/$I$4)</f>
        <v/>
      </c>
      <c r="M45" s="6" t="n">
        <v>1.03</v>
      </c>
      <c r="N45" s="6" t="n"/>
      <c r="O45" s="4" t="n"/>
      <c r="P45" s="4" t="n"/>
      <c r="Q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5" t="n"/>
      <c r="J46" s="5" t="n"/>
      <c r="K46" s="5">
        <f>IF(AND(I46="", J46=""), "", IF(J46="", -I46, J46-I46))</f>
        <v/>
      </c>
      <c r="L46" s="5">
        <f>IF(I46="", "", I46/$I$4)</f>
        <v/>
      </c>
      <c r="M46" s="6" t="n">
        <v>1.03</v>
      </c>
      <c r="N46" s="6" t="n"/>
      <c r="O46" s="4" t="n"/>
      <c r="P46" s="4" t="n"/>
      <c r="Q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5" t="n"/>
      <c r="J47" s="5" t="n"/>
      <c r="K47" s="5">
        <f>IF(AND(I47="", J47=""), "", IF(J47="", -I47, J47-I47))</f>
        <v/>
      </c>
      <c r="L47" s="5">
        <f>IF(I47="", "", I47/$I$4)</f>
        <v/>
      </c>
      <c r="M47" s="6" t="n">
        <v>1.03</v>
      </c>
      <c r="N47" s="6" t="n"/>
      <c r="O47" s="4" t="n"/>
      <c r="P47" s="4" t="n"/>
      <c r="Q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5" t="n"/>
      <c r="J48" s="5" t="n"/>
      <c r="K48" s="5">
        <f>IF(AND(I48="", J48=""), "", IF(J48="", -I48, J48-I48))</f>
        <v/>
      </c>
      <c r="L48" s="5">
        <f>IF(I48="", "", I48/$I$4)</f>
        <v/>
      </c>
      <c r="M48" s="6" t="n">
        <v>1.03</v>
      </c>
      <c r="N48" s="6" t="n"/>
      <c r="O48" s="4" t="n"/>
      <c r="P48" s="4" t="n"/>
      <c r="Q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5" t="n"/>
      <c r="J49" s="5" t="n"/>
      <c r="K49" s="5">
        <f>IF(AND(I49="", J49=""), "", IF(J49="", -I49, J49-I49))</f>
        <v/>
      </c>
      <c r="L49" s="5">
        <f>IF(I49="", "", I49/$I$4)</f>
        <v/>
      </c>
      <c r="M49" s="6" t="n">
        <v>1.03</v>
      </c>
      <c r="N49" s="6" t="n"/>
      <c r="O49" s="4" t="n"/>
      <c r="P49" s="4" t="n"/>
      <c r="Q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5" t="n"/>
      <c r="J50" s="5" t="n"/>
      <c r="K50" s="5">
        <f>IF(AND(I50="", J50=""), "", IF(J50="", -I50, J50-I50))</f>
        <v/>
      </c>
      <c r="L50" s="5">
        <f>IF(I50="", "", I50/$I$4)</f>
        <v/>
      </c>
      <c r="M50" s="6" t="n">
        <v>1.03</v>
      </c>
      <c r="N50" s="6" t="n"/>
      <c r="O50" s="4" t="n"/>
      <c r="P50" s="4" t="n"/>
      <c r="Q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5" t="n"/>
      <c r="J51" s="5" t="n"/>
      <c r="K51" s="5">
        <f>IF(AND(I51="", J51=""), "", IF(J51="", -I51, J51-I51))</f>
        <v/>
      </c>
      <c r="L51" s="5">
        <f>IF(I51="", "", I51/$I$4)</f>
        <v/>
      </c>
      <c r="M51" s="6" t="n">
        <v>1.03</v>
      </c>
      <c r="N51" s="6" t="n"/>
      <c r="O51" s="4" t="n"/>
      <c r="P51" s="4" t="n"/>
      <c r="Q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5" t="n"/>
      <c r="J52" s="5" t="n"/>
      <c r="K52" s="5">
        <f>IF(AND(I52="", J52=""), "", IF(J52="", -I52, J52-I52))</f>
        <v/>
      </c>
      <c r="L52" s="5">
        <f>IF(I52="", "", I52/$I$4)</f>
        <v/>
      </c>
      <c r="M52" s="6" t="n">
        <v>1.03</v>
      </c>
      <c r="N52" s="6" t="n"/>
      <c r="O52" s="4" t="n"/>
      <c r="P52" s="4" t="n"/>
      <c r="Q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5" t="n"/>
      <c r="J53" s="5" t="n"/>
      <c r="K53" s="5">
        <f>IF(AND(I53="", J53=""), "", IF(J53="", -I53, J53-I53))</f>
        <v/>
      </c>
      <c r="L53" s="5">
        <f>IF(I53="", "", I53/$I$4)</f>
        <v/>
      </c>
      <c r="M53" s="6" t="n">
        <v>1.03</v>
      </c>
      <c r="N53" s="6" t="n"/>
      <c r="O53" s="4" t="n"/>
      <c r="P53" s="4" t="n"/>
      <c r="Q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5" t="n"/>
      <c r="J54" s="5" t="n"/>
      <c r="K54" s="5">
        <f>IF(AND(I54="", J54=""), "", IF(J54="", -I54, J54-I54))</f>
        <v/>
      </c>
      <c r="L54" s="5">
        <f>IF(I54="", "", I54/$I$4)</f>
        <v/>
      </c>
      <c r="M54" s="6" t="n">
        <v>1.03</v>
      </c>
      <c r="N54" s="6" t="n"/>
      <c r="O54" s="4" t="n"/>
      <c r="P54" s="4" t="n"/>
      <c r="Q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5" t="n"/>
      <c r="J55" s="5" t="n"/>
      <c r="K55" s="5">
        <f>IF(AND(I55="", J55=""), "", IF(J55="", -I55, J55-I55))</f>
        <v/>
      </c>
      <c r="L55" s="5">
        <f>IF(I55="", "", I55/$I$4)</f>
        <v/>
      </c>
      <c r="M55" s="6" t="n">
        <v>1.03</v>
      </c>
      <c r="N55" s="6" t="n"/>
      <c r="O55" s="4" t="n"/>
      <c r="P55" s="4" t="n"/>
      <c r="Q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5" t="n"/>
      <c r="J56" s="5" t="n"/>
      <c r="K56" s="5">
        <f>IF(AND(I56="", J56=""), "", IF(J56="", -I56, J56-I56))</f>
        <v/>
      </c>
      <c r="L56" s="5">
        <f>IF(I56="", "", I56/$I$4)</f>
        <v/>
      </c>
      <c r="M56" s="6" t="n">
        <v>1.03</v>
      </c>
      <c r="N56" s="6" t="n"/>
      <c r="O56" s="4" t="n"/>
      <c r="P56" s="4" t="n"/>
      <c r="Q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5" t="n"/>
      <c r="J57" s="5" t="n"/>
      <c r="K57" s="5">
        <f>IF(AND(I57="", J57=""), "", IF(J57="", -I57, J57-I57))</f>
        <v/>
      </c>
      <c r="L57" s="5">
        <f>IF(I57="", "", I57/$I$4)</f>
        <v/>
      </c>
      <c r="M57" s="6" t="n">
        <v>1.03</v>
      </c>
      <c r="N57" s="6" t="n"/>
      <c r="O57" s="4" t="n"/>
      <c r="P57" s="4" t="n"/>
      <c r="Q57" s="4" t="n"/>
    </row>
    <row r="60">
      <c r="H60" s="2" t="inlineStr">
        <is>
          <t>TOTAL CAPEX:</t>
        </is>
      </c>
      <c r="I60" s="7">
        <f>SUM(I8:I57)</f>
        <v/>
      </c>
      <c r="J60" s="7">
        <f>SUM(J8:J57)</f>
        <v/>
      </c>
    </row>
  </sheetData>
  <mergeCells count="1">
    <mergeCell ref="B2:E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2026-01-19T09:16:14Z</dcterms:created>
  <dcterms:modified xmlns:dcterms="http://purl.org/dc/terms/" xmlns:xsi="http://www.w3.org/2001/XMLSchema-instance" xsi:type="dcterms:W3CDTF">2026-01-19T09:22:20Z</dcterms:modified>
</cp:coreProperties>
</file>