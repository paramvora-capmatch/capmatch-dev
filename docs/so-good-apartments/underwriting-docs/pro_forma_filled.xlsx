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 Forma 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x"/>
    <numFmt numFmtId="165" formatCode="$#,##0"/>
  </numFmts>
  <fonts count="8">
    <font>
      <name val="Calibri"/>
      <family val="2"/>
      <color theme="1"/>
      <sz val="11"/>
      <scheme val="minor"/>
    </font>
    <font>
      <b val="1"/>
      <i val="1"/>
      <color rgb="00366092"/>
      <sz val="16"/>
    </font>
    <font>
      <b val="1"/>
      <sz val="12"/>
    </font>
    <font/>
    <font>
      <b val="1"/>
    </font>
    <font>
      <i val="1"/>
      <color rgb="00808080"/>
    </font>
    <font>
      <b val="1"/>
      <color rgb="00FFFFFF"/>
    </font>
    <font>
      <b val="1"/>
      <u val="single"/>
    </font>
  </fonts>
  <fills count="6">
    <fill>
      <patternFill/>
    </fill>
    <fill>
      <patternFill patternType="gray125"/>
    </fill>
    <fill>
      <patternFill patternType="solid">
        <fgColor rgb="00FFFFE0"/>
        <bgColor rgb="00FFFFE0"/>
      </patternFill>
    </fill>
    <fill>
      <patternFill patternType="solid">
        <fgColor rgb="004F81BD"/>
        <bgColor rgb="004F81BD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top style="thin"/>
    </border>
    <border>
      <top style="thin"/>
      <bottom style="double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0" fontId="4" fillId="2" borderId="0" pivotButton="0" quotePrefix="0" xfId="0"/>
    <xf numFmtId="3" fontId="4" fillId="2" borderId="0" pivotButton="0" quotePrefix="0" xfId="0"/>
    <xf numFmtId="0" fontId="6" fillId="3" borderId="0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7" fillId="0" borderId="0" pivotButton="0" quotePrefix="0" xfId="0"/>
    <xf numFmtId="3" fontId="0" fillId="2" borderId="0" pivotButton="0" quotePrefix="0" xfId="0"/>
    <xf numFmtId="3" fontId="0" fillId="0" borderId="0" pivotButton="0" quotePrefix="0" xfId="0"/>
    <xf numFmtId="3" fontId="4" fillId="4" borderId="1" pivotButton="0" quotePrefix="0" xfId="0"/>
    <xf numFmtId="3" fontId="4" fillId="5" borderId="2" pivotButton="0" quotePrefix="0" xfId="0"/>
    <xf numFmtId="164" fontId="0" fillId="0" borderId="0" pivotButton="0" quotePrefix="0" xfId="0"/>
    <xf numFmtId="10" fontId="0" fillId="0" borderId="0" pivotButton="0" quotePrefix="0" xfId="0"/>
    <xf numFmtId="3" fontId="4" fillId="0" borderId="0" pivotButton="0" quotePrefix="0" xfId="0"/>
    <xf numFmtId="1" fontId="4" fillId="2" borderId="0" pivotButton="0" quotePrefix="0" xfId="0"/>
    <xf numFmtId="165" fontId="4" fillId="2" borderId="0" pivotButton="0" quotePrefix="0" xfId="0"/>
    <xf numFmtId="0" fontId="4" fillId="3" borderId="0" applyAlignment="1" pivotButton="0" quotePrefix="0" xfId="0">
      <alignment horizontal="center"/>
    </xf>
    <xf numFmtId="1" fontId="3" fillId="0" borderId="0" applyAlignment="1" pivotButton="0" quotePrefix="0" xfId="0">
      <alignment horizontal="center"/>
    </xf>
    <xf numFmtId="165" fontId="3" fillId="2" borderId="0" pivotButton="0" quotePrefix="0" xfId="0"/>
    <xf numFmtId="165" fontId="3" fillId="0" borderId="0" pivotButton="0" quotePrefix="0" xfId="0"/>
    <xf numFmtId="165" fontId="4" fillId="4" borderId="1" pivotButton="0" quotePrefix="0" xfId="0"/>
    <xf numFmtId="165" fontId="4" fillId="5" borderId="2" pivotButton="0" quotePrefix="0" xfId="0"/>
    <xf numFmtId="2" fontId="3" fillId="0" borderId="0" pivotButton="0" quotePrefix="0" xfId="0"/>
    <xf numFmtId="10" fontId="3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4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2">
      <c r="B2" s="1" t="inlineStr">
        <is>
          <t>Verified by Capmatch</t>
        </is>
      </c>
    </row>
    <row r="3"/>
    <row r="6">
      <c r="A6" s="9" t="inlineStr">
        <is>
          <t>KEY ASSUMPTIONS</t>
        </is>
      </c>
    </row>
    <row r="7">
      <c r="A7" s="9" t="inlineStr">
        <is>
          <t>Projection Start Year</t>
        </is>
      </c>
      <c r="B7" s="19" t="n">
        <v>2026</v>
      </c>
      <c r="C7" s="5" t="inlineStr">
        <is>
          <t>Calendar Year</t>
        </is>
      </c>
    </row>
    <row r="8">
      <c r="A8" s="9" t="inlineStr">
        <is>
          <t>Rent Growth Rate</t>
        </is>
      </c>
      <c r="B8" s="6" t="n">
        <v>0.03</v>
      </c>
      <c r="C8" s="5" t="inlineStr">
        <is>
          <t>Per Year</t>
        </is>
      </c>
    </row>
    <row r="9">
      <c r="A9" s="9" t="inlineStr">
        <is>
          <t>Expense Inflation Rate</t>
        </is>
      </c>
      <c r="B9" s="6" t="n">
        <v>0.03</v>
      </c>
      <c r="C9" s="5" t="inlineStr">
        <is>
          <t>Per Year</t>
        </is>
      </c>
    </row>
    <row r="10">
      <c r="A10" s="9" t="inlineStr">
        <is>
          <t>Vacancy Rate</t>
        </is>
      </c>
      <c r="B10" s="6" t="n">
        <v>0.05</v>
      </c>
      <c r="C10" s="5" t="inlineStr">
        <is>
          <t>Per Year</t>
        </is>
      </c>
    </row>
    <row r="11">
      <c r="A11" s="9" t="inlineStr">
        <is>
          <t>Exit Cap Rate</t>
        </is>
      </c>
      <c r="B11" s="6" t="n">
        <v>0.055</v>
      </c>
      <c r="C11" s="5" t="inlineStr">
        <is>
          <t>Per Year</t>
        </is>
      </c>
    </row>
    <row r="12">
      <c r="A12" s="9" t="inlineStr">
        <is>
          <t>CapEx Reserve / Unit</t>
        </is>
      </c>
      <c r="B12" s="20" t="n">
        <v>250</v>
      </c>
      <c r="C12" s="5" t="inlineStr">
        <is>
          <t>$/Unit/Year</t>
        </is>
      </c>
    </row>
    <row r="13">
      <c r="A13" s="9" t="inlineStr">
        <is>
          <t>Number of Units</t>
        </is>
      </c>
      <c r="B13" s="19" t="n">
        <v>100</v>
      </c>
      <c r="C13" s="5" t="inlineStr">
        <is>
          <t>$/Unit/Year</t>
        </is>
      </c>
    </row>
    <row r="14">
      <c r="A14" s="9" t="inlineStr">
        <is>
          <t>Loan Amount</t>
        </is>
      </c>
      <c r="B14" s="20" t="n">
        <v>10000000</v>
      </c>
      <c r="C14" s="5" t="inlineStr"/>
    </row>
    <row r="15">
      <c r="A15" s="9" t="inlineStr">
        <is>
          <t>Interest Rate</t>
        </is>
      </c>
      <c r="B15" s="6" t="n">
        <v>0.06</v>
      </c>
      <c r="C15" s="5" t="inlineStr">
        <is>
          <t>Per Year</t>
        </is>
      </c>
    </row>
    <row r="16">
      <c r="A16" s="9" t="inlineStr">
        <is>
          <t>Sponsor Equity</t>
        </is>
      </c>
      <c r="B16" s="20" t="n">
        <v>3000000</v>
      </c>
      <c r="C16" s="5" t="inlineStr"/>
    </row>
    <row r="20">
      <c r="A20" s="21" t="inlineStr">
        <is>
          <t>Line Item</t>
        </is>
      </c>
      <c r="B20" s="21" t="inlineStr">
        <is>
          <t>Year 1</t>
        </is>
      </c>
      <c r="C20" s="21" t="inlineStr">
        <is>
          <t>Year 2</t>
        </is>
      </c>
      <c r="D20" s="21" t="inlineStr">
        <is>
          <t>Year 3</t>
        </is>
      </c>
    </row>
    <row r="21">
      <c r="A21" s="9" t="inlineStr">
        <is>
          <t>Fiscal Year</t>
        </is>
      </c>
      <c r="B21" s="22">
        <f>B7</f>
        <v/>
      </c>
      <c r="C21" s="22">
        <f>B21+1</f>
        <v/>
      </c>
      <c r="D21" s="22">
        <f>C21+1</f>
        <v/>
      </c>
    </row>
    <row r="22">
      <c r="A22" s="9" t="inlineStr">
        <is>
          <t>REVENUE</t>
        </is>
      </c>
    </row>
    <row r="23">
      <c r="A23" s="9" t="inlineStr">
        <is>
          <t>Gross Potential Rent</t>
        </is>
      </c>
      <c r="B23" s="23" t="n">
        <v>1200000</v>
      </c>
      <c r="C23" s="24">
        <f>B23*(1+B8)</f>
        <v/>
      </c>
      <c r="D23" s="24">
        <f>C23*(1+B8)</f>
        <v/>
      </c>
    </row>
    <row r="24">
      <c r="A24" s="9" t="inlineStr">
        <is>
          <t>Less: Vacancy Loss</t>
        </is>
      </c>
      <c r="B24" s="24">
        <f>-B23*B10</f>
        <v/>
      </c>
      <c r="C24" s="24">
        <f>-C23*B10</f>
        <v/>
      </c>
      <c r="D24" s="24">
        <f>-D23*B10</f>
        <v/>
      </c>
    </row>
    <row r="25">
      <c r="A25" s="9" t="inlineStr">
        <is>
          <t>Other Income</t>
        </is>
      </c>
      <c r="B25" s="23" t="n">
        <v>50000</v>
      </c>
      <c r="C25" s="24">
        <f>B25*(1+B8)</f>
        <v/>
      </c>
      <c r="D25" s="24">
        <f>C25*(1+B8)</f>
        <v/>
      </c>
    </row>
    <row r="26">
      <c r="A26" s="9" t="inlineStr">
        <is>
          <t>Effective Gross Income</t>
        </is>
      </c>
      <c r="B26" s="25">
        <f>SUM(B23:B25)</f>
        <v/>
      </c>
      <c r="C26" s="25">
        <f>SUM(C23:C25)</f>
        <v/>
      </c>
      <c r="D26" s="25">
        <f>SUM(D23:D25)</f>
        <v/>
      </c>
    </row>
    <row r="28">
      <c r="A28" s="9" t="inlineStr">
        <is>
          <t>OPERATING EXPENSES</t>
        </is>
      </c>
    </row>
    <row r="29">
      <c r="A29" s="9" t="inlineStr">
        <is>
          <t>Total Operating Expenses</t>
        </is>
      </c>
      <c r="B29" s="23" t="n">
        <v>450000</v>
      </c>
      <c r="C29" s="24">
        <f>B29*(1+B9)</f>
        <v/>
      </c>
      <c r="D29" s="24">
        <f>C29*(1+B9)</f>
        <v/>
      </c>
    </row>
    <row r="30">
      <c r="A30" s="9" t="inlineStr">
        <is>
          <t>Net Operating Income (NOI)</t>
        </is>
      </c>
      <c r="B30" s="26">
        <f>B26-B29</f>
        <v/>
      </c>
      <c r="C30" s="26">
        <f>C26-C29</f>
        <v/>
      </c>
      <c r="D30" s="26">
        <f>D26-D29</f>
        <v/>
      </c>
    </row>
    <row r="32">
      <c r="A32" s="9" t="inlineStr">
        <is>
          <t>CASH FLOW ANALYSIS</t>
        </is>
      </c>
    </row>
    <row r="33">
      <c r="A33" s="9" t="inlineStr">
        <is>
          <t>Annual Debt Service</t>
        </is>
      </c>
      <c r="B33" s="24">
        <f>B14*B15</f>
        <v/>
      </c>
      <c r="C33" s="24">
        <f>B14*B15</f>
        <v/>
      </c>
      <c r="D33" s="24">
        <f>B14*B15</f>
        <v/>
      </c>
    </row>
    <row r="34">
      <c r="A34" s="9" t="inlineStr">
        <is>
          <t>Replacement Reserves</t>
        </is>
      </c>
      <c r="B34" s="24">
        <f>B13*B12</f>
        <v/>
      </c>
      <c r="C34" s="24">
        <f>B13*B12</f>
        <v/>
      </c>
      <c r="D34" s="24">
        <f>B13*B12</f>
        <v/>
      </c>
    </row>
    <row r="35">
      <c r="A35" s="9" t="inlineStr">
        <is>
          <t>Cash Flow Before Tax</t>
        </is>
      </c>
      <c r="B35" s="25">
        <f>B30-B33-B34</f>
        <v/>
      </c>
      <c r="C35" s="25">
        <f>C30-C33-C34</f>
        <v/>
      </c>
      <c r="D35" s="25">
        <f>D30-D33-D34</f>
        <v/>
      </c>
    </row>
    <row r="37">
      <c r="A37" s="9" t="inlineStr">
        <is>
          <t>RETURN METRICS</t>
        </is>
      </c>
    </row>
    <row r="38">
      <c r="A38" s="9" t="inlineStr">
        <is>
          <t>Debt Service Coverage Ratio (DSCR)</t>
        </is>
      </c>
      <c r="B38" s="27">
        <f>IF(B33&gt;0, B30/B33, 0)</f>
        <v/>
      </c>
      <c r="C38" s="27">
        <f>IF(C33&gt;0, C30/C33, 0)</f>
        <v/>
      </c>
      <c r="D38" s="27">
        <f>IF(D33&gt;0, D30/D33, 0)</f>
        <v/>
      </c>
    </row>
    <row r="39">
      <c r="A39" s="9" t="inlineStr">
        <is>
          <t>Cash on Cash Return</t>
        </is>
      </c>
      <c r="B39" s="28">
        <f>IF(B16&gt;0, B35/B16, 0)</f>
        <v/>
      </c>
      <c r="C39" s="28">
        <f>IF(B16&gt;0, C35/B16, 0)</f>
        <v/>
      </c>
      <c r="D39" s="28">
        <f>IF(B16&gt;0, D35/B16, 0)</f>
        <v/>
      </c>
    </row>
    <row r="41">
      <c r="A41" s="9" t="inlineStr">
        <is>
          <t>PROJECTED EXIT (YEAR 3)</t>
        </is>
      </c>
    </row>
    <row r="42">
      <c r="A42" s="9" t="inlineStr">
        <is>
          <t>Exit Cap Rate</t>
        </is>
      </c>
      <c r="B42" s="28">
        <f>B11</f>
        <v/>
      </c>
    </row>
    <row r="43">
      <c r="A43" s="9" t="inlineStr">
        <is>
          <t>Projected Sale Price</t>
        </is>
      </c>
      <c r="B43" s="29">
        <f>IF(B11&gt;0, D30/B11, 0)</f>
        <v/>
      </c>
    </row>
  </sheetData>
  <mergeCells count="1">
    <mergeCell ref="B2:E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2026-01-20T05:27:48Z</dcterms:created>
  <dcterms:modified xmlns:dcterms="http://purl.org/dc/terms/" xmlns:xsi="http://www.w3.org/2001/XMLSchema-instance" xsi:type="dcterms:W3CDTF">2026-01-20T05:28:59Z</dcterms:modified>
</cp:coreProperties>
</file>