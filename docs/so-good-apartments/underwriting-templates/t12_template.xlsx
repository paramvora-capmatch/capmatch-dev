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charts/colors1.xml" ContentType="application/vnd.ms-office.chartcolorstyle+xml"/>
  <Override PartName="/xl/charts/style1.xml" ContentType="application/vnd.ms-office.chartsty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0" showHorizontalScroll="1" showVerticalScroll="1"/>
  </bookViews>
  <sheets>
    <sheet name="T12 Detailed" sheetId="1" state="visible" r:id="rId1"/>
  </sheet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<sst xmlns="http://schemas.openxmlformats.org/spreadsheetml/2006/main" count="40" uniqueCount="40">
  <si>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Verified by Capmatch</t>
  </si>
  <si>
    <t>Category</t>
  </si>
  <si>
    <t xml:space="preserve">Line Item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</si>
  <si>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</si>
  <si>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</si>
  <si>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</si>
  <si>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</si>
  <si>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</si>
  <si>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</si>
  <si>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</si>
  <si>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</si>
  <si>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</si>
  <si>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</si>
  <si>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</si>
  <si>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</si>
  <si>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T12 Total</t>
  </si>
  <si>
    <t>Revenue</t>
  </si>
  <si>
    <t xml:space="preserve">Gross Potential Rent</t>
  </si>
  <si>
    <t xml:space="preserve">Vacancy Loss</t>
  </si>
  <si>
    <t>Concessions</t>
  </si>
  <si>
    <t xml:space="preserve">Bad Debt</t>
  </si>
  <si>
    <t xml:space="preserve">Other Income</t>
  </si>
  <si>
    <t xml:space="preserve">Effective Gross Income</t>
  </si>
  <si>
    <t>Expenses</t>
  </si>
  <si>
    <t xml:space="preserve">Real Estate Taxes</t>
  </si>
  <si>
    <t>Insurance</t>
  </si>
  <si>
    <t>Utilities</t>
  </si>
  <si>
    <t xml:space="preserve">Repairs &amp; Maintenance</t>
  </si>
  <si>
    <t xml:space="preserve">Make Ready</t>
  </si>
  <si>
    <t>Payroll</t>
  </si>
  <si>
    <t xml:space="preserve">Management Fee</t>
  </si>
  <si>
    <t xml:space="preserve">Marketing / Leasing</t>
  </si>
  <si>
    <t xml:space="preserve">General &amp; Admin</t>
  </si>
  <si>
    <t xml:space="preserve">Contract Services</t>
  </si>
  <si>
    <t xml:space="preserve">Total Operating Expenses</t>
  </si>
  <si>
    <t>NOI</t>
  </si>
  <si>
    <t xml:space="preserve">Net Operating Income</t>
  </si>
  <si>
    <t>CapEx</t>
  </si>
  <si>
    <t xml:space="preserve">Capital Expenditures</t>
  </si>
  <si>
    <t xml:space="preserve">Net Cash Flow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</si>
</sst>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1.000000"/>
      <color theme="1"/>
      <name val="Calibri"/>
      <scheme val="minor"/>
    </font>
    <font>
      <b/>
      <i/>
      <sz val="16.000000"/>
    </font>
    <font>
      <b/>
      <color indexed="65"/>
    </font>
    <font/>
    <font>
      <b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7">
    <xf fontId="0" fillId="0" borderId="0" numFmtId="0" xfId="0" quotePrefix="0" pivotButton="0"/>
    <xf fontId="1" fillId="0" borderId="0" numFmtId="0" xfId="0" applyFont="1" applyAlignment="1" quotePrefix="0" pivotButton="0">
      <alignment horizontal="left" vertical="center"/>
    </xf>
    <xf fontId="2" fillId="2" borderId="0" numFmtId="0" xfId="0" applyFont="1" applyFill="1" applyAlignment="1" quotePrefix="0" pivotButton="0">
      <alignment horizontal="center"/>
    </xf>
    <xf fontId="0" fillId="0" borderId="0" numFmtId="3" xfId="0" applyNumberFormat="1" quotePrefix="0" pivotButton="0"/>
    <xf fontId="3" fillId="0" borderId="0" numFmtId="3" xfId="0" applyNumberFormat="1" applyFont="1" quotePrefix="0" pivotButton="0"/>
    <xf fontId="4" fillId="0" borderId="1" numFmtId="3" xfId="0" applyNumberFormat="1" applyFont="1" applyBorder="1" quotePrefix="0" pivotButton="0"/>
    <xf fontId="4" fillId="0" borderId="0" numFmtId="3" xfId="0" applyNumberFormat="1" applyFont="1" quotePrefix="0" pivotButton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Expense Breakdown</a:t>
            </a:r>
            <a:endParaRPr/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spPr bwMode="auto">
            <a:ln>
              <a:prstDash val="solid"/>
            </a:ln>
          </c:spPr>
          <c:cat>
            <c:numRef>
              <c:f>'T12 Detailed'!$B$13:$B$22</c:f>
            </c:numRef>
          </c:cat>
          <c:val>
            <c:numRef>
              <c:f>'T12 Detailed'!$O$13:$O$22</c:f>
            </c:numRef>
          </c:val>
        </c:ser>
        <c:dLbls>
          <c:showBubbleSize val="0"/>
          <c:showCatName val="0"/>
          <c:showLeaderLines val="0"/>
          <c:showLegendKey val="0"/>
          <c:showPercent val="1"/>
          <c:showSerName val="0"/>
          <c:showVal val="0"/>
        </c:dLbls>
        <c:firstSliceAng val="0"/>
      </c:pieChart>
    </c:plotArea>
    <c:legend>
      <c:legendPos val="r"/>
      <c:layout/>
      <c:overlay val="0"/>
    </c:legend>
    <c:plotVisOnly val="1"/>
    <c:dispBlanksAs val="gap"/>
    <c:showDLblsOverMax val="0"/>
  </c:chart>
  <c:spPr bwMode="auto">
    <a:xfrm rot="0"/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Revenue v/s Expenses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50500"/>
          <c:y val="0.145100"/>
          <c:w val="0.912880"/>
          <c:h val="0.770110"/>
        </c:manualLayout>
      </c:layout>
      <c:barChart>
        <c:barDir val="col"/>
        <c:grouping val="clustered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val>
            <c:numRef>
              <c:f>'T12 Detailed'!$C$12:$N$12</c:f>
              <c:numCache>
                <c:formatCode>#,##0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val>
            <c:numRef>
              <c:f>'T12 Detailed'!$C$23:$N$23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219"/>
        <c:overlap val="-26"/>
        <c:axId val="2140841479"/>
        <c:axId val="2140841480"/>
      </c:barChart>
      <c:catAx>
        <c:axId val="2140841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480"/>
        <c:crosses val="autoZero"/>
        <c:auto val="1"/>
        <c:lblAlgn val="ctr"/>
        <c:lblOffset val="100"/>
        <c:noMultiLvlLbl val="0"/>
      </c:catAx>
      <c:valAx>
        <c:axId val="214084148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47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2166937" y="4862512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image" Target="../media/image1.png"/><Relationship Id="rId3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10</xdr:col>
      <xdr:colOff>0</xdr:colOff>
      <xdr:row>28</xdr:row>
      <xdr:rowOff>0</xdr:rowOff>
    </xdr:from>
    <xdr:ext cx="5400000" cy="2700000"/>
    <xdr:graphicFrame>
      <xdr:nvGraphicFramePr>
        <xdr:cNvPr id="2" name="Chart 2"/>
        <xdr:cNvGraphicFramePr>
          <a:graphicFrameLocks xmlns:a="http://schemas.openxmlformats.org/drawingml/2006/main"/>
        </xdr:cNvGraphicFramePr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0</xdr:row>
      <xdr:rowOff>0</xdr:rowOff>
    </xdr:from>
    <xdr:ext cx="571500" cy="571500"/>
    <xdr:pic>
      <xdr:nvPicPr>
        <xdr:cNvPr id="3" name="Image 3" descr="Picture"/>
        <xdr:cNvPicPr/>
      </xdr:nvPicPr>
      <xdr:blipFill rotWithShape="1">
        <a:blip r:embed="rId2"/>
        <a:stretch/>
      </xdr:blipFill>
      <xdr:spPr bwMode="auto">
        <a:xfrm>
          <a:off x="0" y="0"/>
          <a:ext cx="0" cy="0"/>
        </a:xfrm>
        <a:prstGeom prst="rect">
          <a:avLst/>
        </a:prstGeom>
      </xdr:spPr>
    </xdr:pic>
    <xdr:clientData/>
  </xdr:oneCellAnchor>
  <xdr:twoCellAnchor editAs="twoCell">
    <xdr:from>
      <xdr:col>1</xdr:col>
      <xdr:colOff>1166812</xdr:colOff>
      <xdr:row>27</xdr:row>
      <xdr:rowOff>104774</xdr:rowOff>
    </xdr:from>
    <xdr:to>
      <xdr:col>6</xdr:col>
      <xdr:colOff>519112</xdr:colOff>
      <xdr:row>43</xdr:row>
      <xdr:rowOff>9524</xdr:rowOff>
    </xdr:to>
    <xdr:graphicFrame>
      <xdr:nvGraphicFramePr>
        <xdr:cNvPr id="880469108" name=""/>
        <xdr:cNvGraphicFramePr>
          <a:graphicFrameLocks xmlns:a="http://schemas.openxmlformats.org/drawingml/2006/main"/>
        </xdr:cNvGraphicFramePr>
      </xdr:nvGraphicFramePr>
      <xdr:xfrm rot="0" flipH="0" flipV="0">
        <a:off x="2166937" y="4862512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A4" zoomScale="100" workbookViewId="0">
      <selection activeCell="A1" activeCellId="0" sqref="A1"/>
    </sheetView>
  </sheetViews>
  <sheetFormatPr baseColWidth="8" defaultRowHeight="14.25"/>
  <cols>
    <col customWidth="1" min="1" max="1" width="15"/>
    <col customWidth="1" min="2" max="2" width="30"/>
    <col customWidth="1" min="3" max="15" width="12"/>
  </cols>
  <sheetData>
    <row r="2">
      <c r="B2" s="1" t="s">
        <v>0</v>
      </c>
    </row>
    <row r="6">
      <c r="A6" s="2" t="s">
        <v>1</v>
      </c>
      <c r="B6" s="2" t="s">
        <v>2</v>
      </c>
      <c r="C6" s="2" t="s">
        <v>3</v>
      </c>
      <c r="D6" s="2" t="s">
        <v>4</v>
      </c>
      <c r="E6" s="2" t="s">
        <v>5</v>
      </c>
      <c r="F6" s="2" t="s">
        <v>6</v>
      </c>
      <c r="G6" s="2" t="s">
        <v>7</v>
      </c>
      <c r="H6" s="2" t="s">
        <v>8</v>
      </c>
      <c r="I6" s="2" t="s">
        <v>9</v>
      </c>
      <c r="J6" s="2" t="s">
        <v>10</v>
      </c>
      <c r="K6" s="2" t="s">
        <v>11</v>
      </c>
      <c r="L6" s="2" t="s">
        <v>12</v>
      </c>
      <c r="M6" s="2" t="s">
        <v>13</v>
      </c>
      <c r="N6" s="2" t="s">
        <v>14</v>
      </c>
      <c r="O6" s="2" t="s">
        <v>15</v>
      </c>
    </row>
    <row r="7">
      <c r="A7" t="s">
        <v>16</v>
      </c>
      <c r="B7" t="s">
        <v>17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4">
        <f t="shared" ref="O7:O9" si="0">SUM(C7:N7)</f>
        <v>0</v>
      </c>
    </row>
    <row r="8">
      <c r="A8" t="s">
        <v>16</v>
      </c>
      <c r="B8" t="s">
        <v>18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4">
        <f t="shared" si="0"/>
        <v>0</v>
      </c>
    </row>
    <row r="9">
      <c r="A9" t="s">
        <v>16</v>
      </c>
      <c r="B9" t="s">
        <v>19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4">
        <f t="shared" si="0"/>
        <v>0</v>
      </c>
    </row>
    <row r="10">
      <c r="A10" t="s">
        <v>16</v>
      </c>
      <c r="B10" t="s">
        <v>20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4">
        <f t="shared" ref="O10:O26" si="1">SUM(C10:N10)</f>
        <v>0</v>
      </c>
    </row>
    <row r="11">
      <c r="A11" t="s">
        <v>16</v>
      </c>
      <c r="B11" t="s">
        <v>21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4">
        <f t="shared" si="1"/>
        <v>0</v>
      </c>
    </row>
    <row r="12">
      <c r="A12" t="s">
        <v>16</v>
      </c>
      <c r="B12" t="s">
        <v>22</v>
      </c>
      <c r="C12" s="5">
        <f>C7-C8-C9-C10+C11</f>
        <v>0</v>
      </c>
      <c r="D12" s="5">
        <v>0</v>
      </c>
      <c r="E12" s="5">
        <f>E7-E8-E9-E10+E11</f>
        <v>0</v>
      </c>
      <c r="F12" s="5">
        <f>F7-F8-F9-F10+F11</f>
        <v>0</v>
      </c>
      <c r="G12" s="5">
        <f>G7-G8-G9-G10+G11</f>
        <v>0</v>
      </c>
      <c r="H12" s="5">
        <f>H7-H8-H9-H10+H11</f>
        <v>0</v>
      </c>
      <c r="I12" s="5">
        <f>I7-I8-I9-I10+I11</f>
        <v>0</v>
      </c>
      <c r="J12" s="5">
        <f>J7-J8-J9-J10+J11</f>
        <v>0</v>
      </c>
      <c r="K12" s="5">
        <f>K7-K8-K9-K10+K11</f>
        <v>0</v>
      </c>
      <c r="L12" s="5">
        <f>L7-L8-L9-L10+L11</f>
        <v>0</v>
      </c>
      <c r="M12" s="5">
        <f>M7-M8-M9-M10+M11</f>
        <v>0</v>
      </c>
      <c r="N12" s="5">
        <f>N7-N8-N9-N10+N11</f>
        <v>0</v>
      </c>
      <c r="O12" s="6">
        <f t="shared" si="1"/>
        <v>0</v>
      </c>
    </row>
    <row r="13">
      <c r="A13" t="s">
        <v>23</v>
      </c>
      <c r="B13" t="s">
        <v>24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4">
        <f t="shared" si="1"/>
        <v>0</v>
      </c>
    </row>
    <row r="14">
      <c r="A14" t="s">
        <v>23</v>
      </c>
      <c r="B14" t="s">
        <v>25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4">
        <f t="shared" si="1"/>
        <v>0</v>
      </c>
    </row>
    <row r="15">
      <c r="A15" t="s">
        <v>23</v>
      </c>
      <c r="B15" t="s">
        <v>26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4">
        <f t="shared" si="1"/>
        <v>0</v>
      </c>
    </row>
    <row r="16">
      <c r="A16" t="s">
        <v>23</v>
      </c>
      <c r="B16" t="s">
        <v>27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4">
        <f t="shared" si="1"/>
        <v>0</v>
      </c>
    </row>
    <row r="17">
      <c r="A17" t="s">
        <v>23</v>
      </c>
      <c r="B17" t="s">
        <v>28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4">
        <f t="shared" si="1"/>
        <v>0</v>
      </c>
    </row>
    <row r="18">
      <c r="A18" t="s">
        <v>23</v>
      </c>
      <c r="B18" t="s">
        <v>29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4">
        <f t="shared" si="1"/>
        <v>0</v>
      </c>
    </row>
    <row r="19">
      <c r="A19" t="s">
        <v>23</v>
      </c>
      <c r="B19" t="s">
        <v>30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4">
        <f t="shared" si="1"/>
        <v>0</v>
      </c>
    </row>
    <row r="20">
      <c r="A20" t="s">
        <v>23</v>
      </c>
      <c r="B20" t="s">
        <v>31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4">
        <f t="shared" si="1"/>
        <v>0</v>
      </c>
    </row>
    <row r="21">
      <c r="A21" t="s">
        <v>23</v>
      </c>
      <c r="B21" t="s">
        <v>32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4">
        <f t="shared" si="1"/>
        <v>0</v>
      </c>
    </row>
    <row r="22">
      <c r="A22" t="s">
        <v>23</v>
      </c>
      <c r="B22" t="s">
        <v>33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4">
        <f t="shared" si="1"/>
        <v>0</v>
      </c>
    </row>
    <row r="23">
      <c r="A23" t="s">
        <v>23</v>
      </c>
      <c r="B23" t="s">
        <v>34</v>
      </c>
      <c r="C23" s="5">
        <v>0</v>
      </c>
      <c r="D23" s="5">
        <v>0</v>
      </c>
      <c r="E23" s="5">
        <f>SUM(E13:E22)</f>
        <v>0</v>
      </c>
      <c r="F23" s="5">
        <f>SUM(F13:F22)</f>
        <v>0</v>
      </c>
      <c r="G23" s="5">
        <f>SUM(G13:G22)</f>
        <v>0</v>
      </c>
      <c r="H23" s="5">
        <f>SUM(H13:H22)</f>
        <v>0</v>
      </c>
      <c r="I23" s="5">
        <f>SUM(I13:I22)</f>
        <v>0</v>
      </c>
      <c r="J23" s="5">
        <f>SUM(J13:J22)</f>
        <v>0</v>
      </c>
      <c r="K23" s="5">
        <f>SUM(K13:K22)</f>
        <v>0</v>
      </c>
      <c r="L23" s="5">
        <f>SUM(L13:L22)</f>
        <v>0</v>
      </c>
      <c r="M23" s="5">
        <f>SUM(M13:M22)</f>
        <v>0</v>
      </c>
      <c r="N23" s="5">
        <f>SUM(N13:N22)</f>
        <v>0</v>
      </c>
      <c r="O23" s="6">
        <f t="shared" si="1"/>
        <v>0</v>
      </c>
    </row>
    <row r="24">
      <c r="A24" t="s">
        <v>35</v>
      </c>
      <c r="B24" t="s">
        <v>36</v>
      </c>
      <c r="C24" s="5">
        <f>C12-C23</f>
        <v>0</v>
      </c>
      <c r="D24" s="5">
        <f>D12-D23</f>
        <v>0</v>
      </c>
      <c r="E24" s="5">
        <f>E12-E23</f>
        <v>0</v>
      </c>
      <c r="F24" s="5">
        <f>F12-F23</f>
        <v>0</v>
      </c>
      <c r="G24" s="5">
        <f>G12-G23</f>
        <v>0</v>
      </c>
      <c r="H24" s="5">
        <f>H12-H23</f>
        <v>0</v>
      </c>
      <c r="I24" s="5">
        <f>I12-I23</f>
        <v>0</v>
      </c>
      <c r="J24" s="5">
        <f>J12-J23</f>
        <v>0</v>
      </c>
      <c r="K24" s="5">
        <f>K12-K23</f>
        <v>0</v>
      </c>
      <c r="L24" s="5">
        <f>L12-L23</f>
        <v>0</v>
      </c>
      <c r="M24" s="5">
        <f>M12-M23</f>
        <v>0</v>
      </c>
      <c r="N24" s="5">
        <f>N12-N23</f>
        <v>0</v>
      </c>
      <c r="O24" s="6">
        <f t="shared" si="1"/>
        <v>0</v>
      </c>
    </row>
    <row r="25">
      <c r="A25" t="s">
        <v>37</v>
      </c>
      <c r="B25" t="s">
        <v>38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4">
        <f t="shared" si="1"/>
        <v>0</v>
      </c>
    </row>
    <row r="26">
      <c r="A26" t="s">
        <v>39</v>
      </c>
      <c r="B26" t="s">
        <v>39</v>
      </c>
      <c r="C26" s="5">
        <f>C24-C25</f>
        <v>0</v>
      </c>
      <c r="D26" s="5">
        <f>D24-D25</f>
        <v>0</v>
      </c>
      <c r="E26" s="5">
        <f>E24-E25</f>
        <v>0</v>
      </c>
      <c r="F26" s="5">
        <f>F24-F25</f>
        <v>0</v>
      </c>
      <c r="G26" s="5">
        <f>G24-G25</f>
        <v>0</v>
      </c>
      <c r="H26" s="5">
        <f>H24-H25</f>
        <v>0</v>
      </c>
      <c r="I26" s="5">
        <f>I24-I25</f>
        <v>0</v>
      </c>
      <c r="J26" s="5">
        <f>J24-J25</f>
        <v>0</v>
      </c>
      <c r="K26" s="5">
        <f>K24-K25</f>
        <v>0</v>
      </c>
      <c r="L26" s="5">
        <f>L24-L25</f>
        <v>0</v>
      </c>
      <c r="M26" s="5">
        <f>M24-M25</f>
        <v>0</v>
      </c>
      <c r="N26" s="5">
        <f>N24-N25</f>
        <v>0</v>
      </c>
      <c r="O26" s="6">
        <f t="shared" si="1"/>
        <v>0</v>
      </c>
    </row>
  </sheetData>
  <mergeCells count="1">
    <mergeCell ref="B2:E3"/>
  </mergeCell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Cody Field</cp:lastModifiedBy>
  <cp:revision>1</cp:revision>
  <dcterms:created xsi:type="dcterms:W3CDTF">2026-01-17T12:48:00Z</dcterms:created>
  <dcterms:modified xsi:type="dcterms:W3CDTF">2026-01-26T16:10:33Z</dcterms:modified>
</cp:coreProperties>
</file>