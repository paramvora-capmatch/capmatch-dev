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s &amp; Us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<sst xmlns="http://schemas.openxmlformats.org/spreadsheetml/2006/main" count="101" uniqueCount="48">
  <si>
    <t xml:space="preserve">Verified by Capmatch</t>
  </si>
  <si>
    <t xml:space="preserve">Category</t>
  </si>
  <si>
    <t xml:space="preserve">Total</t>
  </si>
  <si>
    <t xml:space="preserve">Acquisition &amp; Land</t>
  </si>
  <si>
    <t xml:space="preserve">Developer Fee</t>
  </si>
  <si>
    <t xml:space="preserve">Financial &amp; Reserves</t>
  </si>
  <si>
    <t xml:space="preserve">USES OF FUNDS</t>
  </si>
  <si>
    <t xml:space="preserve">Hard Costs</t>
  </si>
  <si>
    <t xml:space="preserve">Item</t>
  </si>
  <si>
    <t xml:space="preserve">Amount</t>
  </si>
  <si>
    <t xml:space="preserve">Notes</t>
  </si>
  <si>
    <t xml:space="preserve">Key Metrics</t>
  </si>
  <si>
    <t xml:space="preserve">Soft Costs</t>
  </si>
  <si>
    <t xml:space="preserve">Land Acquisition</t>
  </si>
  <si>
    <t xml:space="preserve">Direct</t>
  </si>
  <si>
    <t xml:space="preserve">TDC</t>
  </si>
  <si>
    <t xml:space="preserve">Acquisition Costs</t>
  </si>
  <si>
    <t xml:space="preserve">Status</t>
  </si>
  <si>
    <t xml:space="preserve">Payoff Existing Debt</t>
  </si>
  <si>
    <t xml:space="preserve">Base Construction</t>
  </si>
  <si>
    <t xml:space="preserve">Contingency</t>
  </si>
  <si>
    <t xml:space="preserve">Calculated</t>
  </si>
  <si>
    <t xml:space="preserve">FF&amp;E</t>
  </si>
  <si>
    <t xml:space="preserve">Construction Mgmt Fee</t>
  </si>
  <si>
    <t xml:space="preserve">Soft Costs (General)</t>
  </si>
  <si>
    <t xml:space="preserve">A&amp;E Fees</t>
  </si>
  <si>
    <t xml:space="preserve">Third Party Reports</t>
  </si>
  <si>
    <t xml:space="preserve">Legal &amp; Org</t>
  </si>
  <si>
    <t xml:space="preserve">Title &amp; Recording</t>
  </si>
  <si>
    <t xml:space="preserve">Enviro / Relocation</t>
  </si>
  <si>
    <t xml:space="preserve">Interest Reserve</t>
  </si>
  <si>
    <t xml:space="preserve">Loan Fees</t>
  </si>
  <si>
    <t xml:space="preserve">Transaction Fees</t>
  </si>
  <si>
    <t xml:space="preserve">Working Capital</t>
  </si>
  <si>
    <t xml:space="preserve">Tax &amp; Ins Reserve</t>
  </si>
  <si>
    <t xml:space="preserve">Op Deficit Escrow</t>
  </si>
  <si>
    <t xml:space="preserve">TOTAL USES</t>
  </si>
  <si>
    <t xml:space="preserve">SOURCES OF FUNDS</t>
  </si>
  <si>
    <t xml:space="preserve">Debt</t>
  </si>
  <si>
    <t xml:space="preserve">Senior Loan</t>
  </si>
  <si>
    <t xml:space="preserve">Mezzanine Debt</t>
  </si>
  <si>
    <t xml:space="preserve">Seller Financing</t>
  </si>
  <si>
    <t xml:space="preserve">Equity</t>
  </si>
  <si>
    <t xml:space="preserve">Preferred Equity</t>
  </si>
  <si>
    <t xml:space="preserve">Grants / Credits</t>
  </si>
  <si>
    <t xml:space="preserve">Sponsor Equity</t>
  </si>
  <si>
    <t xml:space="preserve">Plug</t>
  </si>
  <si>
    <t xml:space="preserve">TOTAL SOURCES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</si>
</sst>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u val="singl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BACC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Sources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'Sources &amp; Uses'!$B$33:$B$38</c:f>
              <c:strCache>
                <c:ptCount val="6"/>
                <c:pt idx="0">
                  <c:v>Senior Loan</c:v>
                </c:pt>
                <c:pt idx="1">
                  <c:v>Mezzanine Debt</c:v>
                </c:pt>
                <c:pt idx="2">
                  <c:v>Seller Financing</c:v>
                </c:pt>
                <c:pt idx="3">
                  <c:v>Preferred Equity</c:v>
                </c:pt>
                <c:pt idx="4">
                  <c:v>Grants / Credits</c:v>
                </c:pt>
                <c:pt idx="5">
                  <c:v>Sponsor Equity</c:v>
                </c:pt>
              </c:strCache>
            </c:strRef>
          </c:cat>
          <c:val>
            <c:numRef>
              <c:f>'Sources &amp; Uses'!$C$33:$C$38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'Sources &amp; Uses'!$I$3:$I$7</c:f>
              <c:strCache>
                <c:ptCount val="5"/>
                <c:pt idx="0">
                  <c:v>Acquisition &amp; Land</c:v>
                </c:pt>
                <c:pt idx="1">
                  <c:v>Developer Fee</c:v>
                </c:pt>
                <c:pt idx="2">
                  <c:v>Financial &amp; Reserves</c:v>
                </c:pt>
                <c:pt idx="3">
                  <c:v>Hard Costs</c:v>
                </c:pt>
                <c:pt idx="4">
                  <c:v>Soft Costs</c:v>
                </c:pt>
              </c:strCache>
            </c:strRef>
          </c:cat>
          <c:val>
            <c:numRef>
              <c:f>'Sources &amp; Uses'!$J$3:$J$7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16560</xdr:colOff>
      <xdr:row>29</xdr:row>
      <xdr:rowOff>-360</xdr:rowOff>
    </xdr:from>
    <xdr:to>
      <xdr:col>9</xdr:col>
      <xdr:colOff>651600</xdr:colOff>
      <xdr:row>43</xdr:row>
      <xdr:rowOff>32400</xdr:rowOff>
    </xdr:to>
    <xdr:graphicFrame>
      <xdr:nvGraphicFramePr>
        <xdr:cNvPr id="0" name="Chart 1"/>
        <xdr:cNvGraphicFramePr/>
      </xdr:nvGraphicFramePr>
      <xdr:xfrm>
        <a:off x="10112400" y="54777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6840</xdr:colOff>
      <xdr:row>12</xdr:row>
      <xdr:rowOff>-360</xdr:rowOff>
    </xdr:from>
    <xdr:to>
      <xdr:col>9</xdr:col>
      <xdr:colOff>641880</xdr:colOff>
      <xdr:row>26</xdr:row>
      <xdr:rowOff>32040</xdr:rowOff>
    </xdr:to>
    <xdr:graphicFrame>
      <xdr:nvGraphicFramePr>
        <xdr:cNvPr id="1" name="Chart 2"/>
        <xdr:cNvGraphicFramePr/>
      </xdr:nvGraphicFramePr>
      <xdr:xfrm>
        <a:off x="10102680" y="2239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571320</xdr:colOff>
      <xdr:row>3</xdr:row>
      <xdr:rowOff>30240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0"/>
          <a:ext cx="57132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3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11" activeCellId="0" sqref="J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6" min="6" style="0" width="12.49"/>
    <col collapsed="false" customWidth="true" hidden="false" outlineLevel="0" max="7" min="7" style="0" width="14.11"/>
    <col collapsed="false" customWidth="true" hidden="false" outlineLevel="0" max="9" min="9" style="0" width="18.45"/>
    <col collapsed="false" customWidth="true" hidden="false" outlineLevel="0" max="15" min="15" style="0" width="18.45"/>
    <col collapsed="false" customWidth="true" hidden="false" outlineLevel="0" max="16" min="16" style="0" width="11.68"/>
  </cols>
  <sheetData>
    <row r="2" customFormat="false" ht="13.8" hidden="false" customHeight="false" outlineLevel="0" collapsed="false">
      <c r="B2" s="1" t="s">
        <v>0</v>
      </c>
      <c r="C2" s="1"/>
      <c r="D2" s="1"/>
      <c r="E2" s="1"/>
      <c r="I2" s="0" t="s">
        <v>1</v>
      </c>
      <c r="J2" s="0" t="s">
        <v>2</v>
      </c>
    </row>
    <row r="3" customFormat="false" ht="13.8" hidden="false" customHeight="false" outlineLevel="0" collapsed="false">
      <c r="B3" s="1"/>
      <c r="C3" s="1"/>
      <c r="D3" s="1"/>
      <c r="E3" s="1"/>
      <c r="I3" s="0" t="s">
        <v>3</v>
      </c>
      <c r="J3" s="0" t="n">
        <f aca="false">SUMIF($A$8:$A$27, I3, $C$8:$C$27)</f>
        <v>0</v>
      </c>
    </row>
    <row r="4" customFormat="false" ht="13.8" hidden="false" customHeight="false" outlineLevel="0" collapsed="false">
      <c r="I4" s="0" t="s">
        <v>4</v>
      </c>
      <c r="J4" s="0" t="n">
        <f aca="false">SUMIF($A$8:$A$27, I4, $C$8:$C$27)</f>
        <v>0</v>
      </c>
    </row>
    <row r="5" customFormat="false" ht="13.8" hidden="false" customHeight="false" outlineLevel="0" collapsed="false">
      <c r="I5" s="0" t="s">
        <v>5</v>
      </c>
      <c r="J5" s="0" t="n">
        <f aca="false">SUMIF($A$8:$A$27, I5, $C$8:$C$27)</f>
        <v>0</v>
      </c>
    </row>
    <row r="6" customFormat="false" ht="17.35" hidden="false" customHeight="false" outlineLevel="0" collapsed="false">
      <c r="A6" s="2" t="s">
        <v>6</v>
      </c>
      <c r="I6" s="0" t="s">
        <v>7</v>
      </c>
      <c r="J6" s="0" t="n">
        <f aca="false">SUMIF($A$8:$A$27, I6, $C$8:$C$27)</f>
        <v>0</v>
      </c>
    </row>
    <row r="7" customFormat="false" ht="13.8" hidden="false" customHeight="false" outlineLevel="0" collapsed="false">
      <c r="A7" s="3" t="s">
        <v>1</v>
      </c>
      <c r="B7" s="3" t="s">
        <v>8</v>
      </c>
      <c r="C7" s="3" t="s">
        <v>9</v>
      </c>
      <c r="D7" s="3" t="s">
        <v>10</v>
      </c>
      <c r="F7" s="4" t="s">
        <v>11</v>
      </c>
      <c r="I7" s="0" t="s">
        <v>12</v>
      </c>
      <c r="J7" s="0" t="n">
        <f aca="false">SUMIF($A$8:$A$27, I7, $C$8:$C$27)</f>
        <v>0</v>
      </c>
    </row>
    <row r="8" customFormat="false" ht="15" hidden="false" customHeight="false" outlineLevel="0" collapsed="false">
      <c r="A8" s="0" t="s">
        <v>3</v>
      </c>
      <c r="B8" s="0" t="s">
        <v>13</v>
      </c>
      <c r="C8" s="5" t="n">
        <v>0</v>
      </c>
      <c r="D8" s="0" t="s">
        <v>14</v>
      </c>
      <c r="F8" s="0" t="s">
        <v>15</v>
      </c>
      <c r="G8" s="5" t="n">
        <f aca="false">C28</f>
        <v>0</v>
      </c>
    </row>
    <row r="9" customFormat="false" ht="15" hidden="false" customHeight="false" outlineLevel="0" collapsed="false">
      <c r="A9" s="0" t="s">
        <v>3</v>
      </c>
      <c r="B9" s="0" t="s">
        <v>16</v>
      </c>
      <c r="C9" s="5" t="n">
        <v>0</v>
      </c>
      <c r="D9" s="0" t="s">
        <v>14</v>
      </c>
      <c r="F9" s="0" t="s">
        <v>17</v>
      </c>
      <c r="G9" s="0" t="str">
        <f aca="false">IF(ABS(C28-C39)&lt;1, "BALANCED", "IMBALANCED")</f>
        <v>BALANCED</v>
      </c>
    </row>
    <row r="10" customFormat="false" ht="15" hidden="false" customHeight="false" outlineLevel="0" collapsed="false">
      <c r="A10" s="0" t="s">
        <v>3</v>
      </c>
      <c r="B10" s="0" t="s">
        <v>18</v>
      </c>
      <c r="C10" s="5" t="n">
        <v>0</v>
      </c>
      <c r="D10" s="0" t="s">
        <v>14</v>
      </c>
    </row>
    <row r="11" customFormat="false" ht="15" hidden="false" customHeight="false" outlineLevel="0" collapsed="false">
      <c r="A11" s="0" t="s">
        <v>7</v>
      </c>
      <c r="B11" s="0" t="s">
        <v>19</v>
      </c>
      <c r="C11" s="5" t="n">
        <v>0</v>
      </c>
      <c r="D11" s="0" t="s">
        <v>14</v>
      </c>
    </row>
    <row r="12" customFormat="false" ht="15" hidden="false" customHeight="false" outlineLevel="0" collapsed="false">
      <c r="A12" s="0" t="s">
        <v>7</v>
      </c>
      <c r="B12" s="0" t="s">
        <v>20</v>
      </c>
      <c r="C12" s="5" t="n">
        <v>0</v>
      </c>
      <c r="D12" s="0" t="s">
        <v>21</v>
      </c>
    </row>
    <row r="13" customFormat="false" ht="15" hidden="false" customHeight="false" outlineLevel="0" collapsed="false">
      <c r="A13" s="0" t="s">
        <v>7</v>
      </c>
      <c r="B13" s="0" t="s">
        <v>22</v>
      </c>
      <c r="C13" s="5" t="n">
        <v>0</v>
      </c>
      <c r="D13" s="0" t="s">
        <v>14</v>
      </c>
    </row>
    <row r="14" customFormat="false" ht="15" hidden="false" customHeight="false" outlineLevel="0" collapsed="false">
      <c r="A14" s="0" t="s">
        <v>7</v>
      </c>
      <c r="B14" s="0" t="s">
        <v>23</v>
      </c>
      <c r="C14" s="5" t="n">
        <v>0</v>
      </c>
      <c r="D14" s="0" t="s">
        <v>14</v>
      </c>
    </row>
    <row r="15" customFormat="false" ht="15" hidden="false" customHeight="false" outlineLevel="0" collapsed="false">
      <c r="A15" s="0" t="s">
        <v>12</v>
      </c>
      <c r="B15" s="0" t="s">
        <v>24</v>
      </c>
      <c r="C15" s="5" t="n">
        <v>0</v>
      </c>
      <c r="D15" s="0" t="s">
        <v>14</v>
      </c>
    </row>
    <row r="16" customFormat="false" ht="15" hidden="false" customHeight="false" outlineLevel="0" collapsed="false">
      <c r="A16" s="0" t="s">
        <v>12</v>
      </c>
      <c r="B16" s="0" t="s">
        <v>25</v>
      </c>
      <c r="C16" s="5" t="n">
        <v>0</v>
      </c>
      <c r="D16" s="0" t="s">
        <v>14</v>
      </c>
    </row>
    <row r="17" customFormat="false" ht="15" hidden="false" customHeight="false" outlineLevel="0" collapsed="false">
      <c r="A17" s="0" t="s">
        <v>12</v>
      </c>
      <c r="B17" s="0" t="s">
        <v>26</v>
      </c>
      <c r="C17" s="5" t="n">
        <v>0</v>
      </c>
      <c r="D17" s="0" t="s">
        <v>14</v>
      </c>
    </row>
    <row r="18" customFormat="false" ht="15" hidden="false" customHeight="false" outlineLevel="0" collapsed="false">
      <c r="A18" s="0" t="s">
        <v>12</v>
      </c>
      <c r="B18" s="0" t="s">
        <v>27</v>
      </c>
      <c r="C18" s="5" t="n">
        <v>0</v>
      </c>
      <c r="D18" s="0" t="s">
        <v>14</v>
      </c>
    </row>
    <row r="19" customFormat="false" ht="15" hidden="false" customHeight="false" outlineLevel="0" collapsed="false">
      <c r="A19" s="0" t="s">
        <v>12</v>
      </c>
      <c r="B19" s="0" t="s">
        <v>28</v>
      </c>
      <c r="C19" s="5" t="n">
        <v>0</v>
      </c>
      <c r="D19" s="0" t="s">
        <v>14</v>
      </c>
    </row>
    <row r="20" customFormat="false" ht="15" hidden="false" customHeight="false" outlineLevel="0" collapsed="false">
      <c r="A20" s="0" t="s">
        <v>12</v>
      </c>
      <c r="B20" s="0" t="s">
        <v>29</v>
      </c>
      <c r="C20" s="5" t="n">
        <v>0</v>
      </c>
      <c r="D20" s="0" t="s">
        <v>14</v>
      </c>
    </row>
    <row r="21" customFormat="false" ht="15" hidden="false" customHeight="false" outlineLevel="0" collapsed="false">
      <c r="A21" s="0" t="s">
        <v>5</v>
      </c>
      <c r="B21" s="0" t="s">
        <v>30</v>
      </c>
      <c r="C21" s="5" t="n">
        <v>0</v>
      </c>
      <c r="D21" s="0" t="s">
        <v>14</v>
      </c>
    </row>
    <row r="22" customFormat="false" ht="15" hidden="false" customHeight="false" outlineLevel="0" collapsed="false">
      <c r="A22" s="0" t="s">
        <v>5</v>
      </c>
      <c r="B22" s="0" t="s">
        <v>31</v>
      </c>
      <c r="C22" s="5" t="n">
        <v>0</v>
      </c>
      <c r="D22" s="0" t="s">
        <v>21</v>
      </c>
    </row>
    <row r="23" customFormat="false" ht="15" hidden="false" customHeight="false" outlineLevel="0" collapsed="false">
      <c r="A23" s="0" t="s">
        <v>5</v>
      </c>
      <c r="B23" s="0" t="s">
        <v>32</v>
      </c>
      <c r="C23" s="5" t="n">
        <v>0</v>
      </c>
      <c r="D23" s="0" t="s">
        <v>21</v>
      </c>
    </row>
    <row r="24" customFormat="false" ht="15" hidden="false" customHeight="false" outlineLevel="0" collapsed="false">
      <c r="A24" s="0" t="s">
        <v>5</v>
      </c>
      <c r="B24" s="0" t="s">
        <v>33</v>
      </c>
      <c r="C24" s="5" t="n">
        <v>0</v>
      </c>
      <c r="D24" s="0" t="s">
        <v>21</v>
      </c>
    </row>
    <row r="25" customFormat="false" ht="15" hidden="false" customHeight="false" outlineLevel="0" collapsed="false">
      <c r="A25" s="0" t="s">
        <v>5</v>
      </c>
      <c r="B25" s="0" t="s">
        <v>34</v>
      </c>
      <c r="C25" s="5" t="n">
        <v>0</v>
      </c>
      <c r="D25" s="0" t="s">
        <v>21</v>
      </c>
    </row>
    <row r="26" customFormat="false" ht="15" hidden="false" customHeight="false" outlineLevel="0" collapsed="false">
      <c r="A26" s="0" t="s">
        <v>5</v>
      </c>
      <c r="B26" s="0" t="s">
        <v>35</v>
      </c>
      <c r="C26" s="5" t="n">
        <v>0</v>
      </c>
      <c r="D26" s="0" t="s">
        <v>14</v>
      </c>
    </row>
    <row r="27" customFormat="false" ht="15" hidden="false" customHeight="false" outlineLevel="0" collapsed="false">
      <c r="A27" s="0" t="s">
        <v>4</v>
      </c>
      <c r="B27" s="0" t="s">
        <v>4</v>
      </c>
      <c r="C27" s="5" t="n">
        <v>0</v>
      </c>
      <c r="D27" s="0" t="s">
        <v>21</v>
      </c>
    </row>
    <row r="28" customFormat="false" ht="15" hidden="false" customHeight="false" outlineLevel="0" collapsed="false">
      <c r="B28" s="6" t="s">
        <v>36</v>
      </c>
      <c r="C28" s="7" t="n">
        <f aca="false">SUM(C8:C27)</f>
        <v>0</v>
      </c>
    </row>
    <row r="31" customFormat="false" ht="15" hidden="false" customHeight="false" outlineLevel="0" collapsed="false">
      <c r="A31" s="2" t="s">
        <v>37</v>
      </c>
    </row>
    <row r="32" customFormat="false" ht="15" hidden="false" customHeight="false" outlineLevel="0" collapsed="false">
      <c r="A32" s="3" t="s">
        <v>1</v>
      </c>
      <c r="B32" s="3" t="s">
        <v>8</v>
      </c>
      <c r="C32" s="3" t="s">
        <v>9</v>
      </c>
      <c r="D32" s="3" t="s">
        <v>10</v>
      </c>
    </row>
    <row r="33" customFormat="false" ht="15" hidden="false" customHeight="false" outlineLevel="0" collapsed="false">
      <c r="A33" s="0" t="s">
        <v>38</v>
      </c>
      <c r="B33" s="0" t="s">
        <v>39</v>
      </c>
      <c r="C33" s="5" t="n">
        <v>0</v>
      </c>
      <c r="D33" s="0" t="s">
        <v>14</v>
      </c>
    </row>
    <row r="34" customFormat="false" ht="15" hidden="false" customHeight="false" outlineLevel="0" collapsed="false">
      <c r="A34" s="0" t="s">
        <v>38</v>
      </c>
      <c r="B34" s="0" t="s">
        <v>40</v>
      </c>
      <c r="C34" s="5" t="n">
        <v>0</v>
      </c>
      <c r="D34" s="0" t="s">
        <v>14</v>
      </c>
    </row>
    <row r="35" customFormat="false" ht="15" hidden="false" customHeight="false" outlineLevel="0" collapsed="false">
      <c r="A35" s="0" t="s">
        <v>38</v>
      </c>
      <c r="B35" s="0" t="s">
        <v>41</v>
      </c>
      <c r="C35" s="5" t="n">
        <v>0</v>
      </c>
      <c r="D35" s="0" t="s">
        <v>14</v>
      </c>
    </row>
    <row r="36" customFormat="false" ht="15" hidden="false" customHeight="false" outlineLevel="0" collapsed="false">
      <c r="A36" s="0" t="s">
        <v>42</v>
      </c>
      <c r="B36" s="0" t="s">
        <v>43</v>
      </c>
      <c r="C36" s="5" t="n">
        <v>0</v>
      </c>
      <c r="D36" s="0" t="s">
        <v>14</v>
      </c>
    </row>
    <row r="37" customFormat="false" ht="15" hidden="false" customHeight="false" outlineLevel="0" collapsed="false">
      <c r="A37" s="0" t="s">
        <v>42</v>
      </c>
      <c r="B37" s="0" t="s">
        <v>44</v>
      </c>
      <c r="C37" s="5" t="n">
        <v>0</v>
      </c>
      <c r="D37" s="0" t="s">
        <v>14</v>
      </c>
    </row>
    <row r="38" customFormat="false" ht="15" hidden="false" customHeight="false" outlineLevel="0" collapsed="false">
      <c r="A38" s="0" t="s">
        <v>42</v>
      </c>
      <c r="B38" s="0" t="s">
        <v>45</v>
      </c>
      <c r="C38" s="5" t="n">
        <v>0</v>
      </c>
      <c r="D38" s="0" t="s">
        <v>46</v>
      </c>
    </row>
    <row r="39" customFormat="false" ht="15" hidden="false" customHeight="false" outlineLevel="0" collapsed="false">
      <c r="B39" s="6" t="s">
        <v>47</v>
      </c>
      <c r="C39" s="7" t="n">
        <f aca="false">SUM(C33:C38)</f>
        <v>0</v>
      </c>
    </row>
  </sheetData>
  <mergeCells count="1">
    <mergeCell ref="B2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2026-01-17T05:29:27Z</dcterms:created>
  <dc:creator>openpyxl</dc:creator>
  <dc:description/>
  <dc:language>en-IN</dc:language>
  <cp:lastModifiedBy/>
  <dcterms:modified xsi:type="dcterms:W3CDTF">2026-01-21T16:09:32Z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