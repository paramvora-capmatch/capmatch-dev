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of Real Estate Ow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0.00x"/>
  </numFmts>
  <fonts count="5">
    <font>
      <name val="Calibri"/>
      <family val="2"/>
      <color theme="1"/>
      <sz val="11"/>
      <scheme val="minor"/>
    </font>
    <font>
      <b val="1"/>
      <i val="1"/>
      <sz val="16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3" fontId="3" fillId="3" borderId="0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Cash Flow by Property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'Schedule of Real Estate Owned'!R5</f>
            </strRef>
          </tx>
          <spPr>
            <a:ln>
              <a:prstDash val="solid"/>
            </a:ln>
          </spPr>
          <cat>
            <numRef>
              <f>'Schedule of Real Estate Owned'!$A$6:$A$15</f>
            </numRef>
          </cat>
          <val>
            <numRef>
              <f>'Schedule of Real Estate Owned'!$R$6:$R$15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Property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Cash Flow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Value Allocation</a:t>
            </a:r>
          </a:p>
        </rich>
      </tx>
    </title>
    <plotArea>
      <pieChart>
        <varyColors val="1"/>
        <ser>
          <idx val="0"/>
          <order val="0"/>
          <tx>
            <strRef>
              <f>'Schedule of Real Estate Owned'!F5</f>
            </strRef>
          </tx>
          <spPr>
            <a:ln>
              <a:prstDash val="solid"/>
            </a:ln>
          </spPr>
          <cat>
            <numRef>
              <f>'Schedule of Real Estate Owned'!$A$6:$A$15</f>
            </numRef>
          </cat>
          <val>
            <numRef>
              <f>'Schedule of Real Estate Owned'!$F$6:$F$15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23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0</row>
      <rowOff>0</rowOff>
    </from>
    <ext cx="476250" cy="47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5" customWidth="1" min="8" max="8"/>
    <col width="20" customWidth="1" min="9" max="9"/>
    <col width="20" customWidth="1" min="10" max="10"/>
    <col width="15" customWidth="1" min="11" max="11"/>
    <col width="15" customWidth="1" min="12" max="12"/>
    <col width="20" customWidth="1" min="13" max="13"/>
    <col width="15" customWidth="1" min="14" max="14"/>
    <col width="20" customWidth="1" min="15" max="15"/>
    <col width="20" customWidth="1" min="16" max="16"/>
    <col width="20" customWidth="1" min="17" max="17"/>
    <col width="20" customWidth="1" min="18" max="18"/>
    <col width="15" customWidth="1" min="19" max="19"/>
    <col width="15" customWidth="1" min="20" max="20"/>
  </cols>
  <sheetData>
    <row r="2">
      <c r="B2" s="1" t="inlineStr">
        <is>
          <t>Verified by Capmatch</t>
        </is>
      </c>
    </row>
    <row r="3"/>
    <row r="5">
      <c r="A5" s="2" t="inlineStr">
        <is>
          <t>Property Address</t>
        </is>
      </c>
      <c r="B5" s="2" t="inlineStr">
        <is>
          <t>Property Type</t>
        </is>
      </c>
      <c r="C5" s="2" t="inlineStr">
        <is>
          <t>Ownership %</t>
        </is>
      </c>
      <c r="D5" s="2" t="inlineStr">
        <is>
          <t>Date Acquired</t>
        </is>
      </c>
      <c r="E5" s="2" t="inlineStr">
        <is>
          <t>Original Cost</t>
        </is>
      </c>
      <c r="F5" s="2" t="inlineStr">
        <is>
          <t>Current Market Value</t>
        </is>
      </c>
      <c r="G5" s="2" t="inlineStr">
        <is>
          <t>Total Portfolio Value</t>
        </is>
      </c>
      <c r="H5" s="2" t="inlineStr">
        <is>
          <t>Lender Name</t>
        </is>
      </c>
      <c r="I5" s="2" t="inlineStr">
        <is>
          <t>Current Loan Balance</t>
        </is>
      </c>
      <c r="J5" s="2" t="inlineStr">
        <is>
          <t>Total Portfolio Debt</t>
        </is>
      </c>
      <c r="K5" s="2" t="inlineStr">
        <is>
          <t>Interest Rate</t>
        </is>
      </c>
      <c r="L5" s="2" t="inlineStr">
        <is>
          <t>Maturity Date</t>
        </is>
      </c>
      <c r="M5" s="2" t="inlineStr">
        <is>
          <t>Monthly Payment (P&amp;I)</t>
        </is>
      </c>
      <c r="N5" s="2" t="inlineStr">
        <is>
          <t>Recourse</t>
        </is>
      </c>
      <c r="O5" s="2" t="inlineStr">
        <is>
          <t>Gross Rental Income</t>
        </is>
      </c>
      <c r="P5" s="2" t="inlineStr">
        <is>
          <t>Operating Expenses</t>
        </is>
      </c>
      <c r="Q5" s="2" t="inlineStr">
        <is>
          <t>Net Operating Income (NOI)</t>
        </is>
      </c>
      <c r="R5" s="2" t="inlineStr">
        <is>
          <t>Net Cash Flow (NCF)</t>
        </is>
      </c>
      <c r="S5" s="2" t="inlineStr">
        <is>
          <t>LTV %</t>
        </is>
      </c>
      <c r="T5" s="2" t="inlineStr">
        <is>
          <t>DSCR</t>
        </is>
      </c>
    </row>
    <row r="6">
      <c r="C6" s="3" t="n"/>
      <c r="D6" s="4" t="n"/>
      <c r="E6" s="5" t="n"/>
      <c r="F6" s="5" t="n"/>
      <c r="G6" s="5">
        <f>F6*C6</f>
        <v/>
      </c>
      <c r="I6" s="5" t="n"/>
      <c r="J6" s="5">
        <f>I6*C6</f>
        <v/>
      </c>
      <c r="K6" s="3" t="n"/>
      <c r="L6" s="4" t="n"/>
      <c r="M6" s="5" t="n"/>
      <c r="O6" s="5" t="n"/>
      <c r="P6" s="5" t="n"/>
      <c r="Q6" s="5">
        <f>O6-P6</f>
        <v/>
      </c>
      <c r="R6" s="5">
        <f>(Q6-(M6*12))*C6</f>
        <v/>
      </c>
      <c r="S6" s="3">
        <f>IF(F6&gt;0, I6/F6, 0)</f>
        <v/>
      </c>
      <c r="T6" s="6">
        <f>IF(M6&gt;0, Q6/(M6*12), 0)</f>
        <v/>
      </c>
    </row>
    <row r="7">
      <c r="C7" s="3" t="n"/>
      <c r="D7" s="4" t="n"/>
      <c r="E7" s="5" t="n"/>
      <c r="F7" s="5" t="n"/>
      <c r="G7" s="5">
        <f>F7*C7</f>
        <v/>
      </c>
      <c r="I7" s="5" t="n"/>
      <c r="J7" s="5">
        <f>I7*C7</f>
        <v/>
      </c>
      <c r="K7" s="3" t="n"/>
      <c r="L7" s="4" t="n"/>
      <c r="M7" s="5" t="n"/>
      <c r="O7" s="5" t="n"/>
      <c r="P7" s="5" t="n"/>
      <c r="Q7" s="5">
        <f>O7-P7</f>
        <v/>
      </c>
      <c r="R7" s="5">
        <f>(Q7-(M7*12))*C7</f>
        <v/>
      </c>
      <c r="S7" s="3">
        <f>IF(F7&gt;0, I7/F7, 0)</f>
        <v/>
      </c>
      <c r="T7" s="6">
        <f>IF(M7&gt;0, Q7/(M7*12), 0)</f>
        <v/>
      </c>
    </row>
    <row r="8">
      <c r="C8" s="3" t="n"/>
      <c r="D8" s="4" t="n"/>
      <c r="E8" s="5" t="n"/>
      <c r="F8" s="5" t="n"/>
      <c r="G8" s="5">
        <f>F8*C8</f>
        <v/>
      </c>
      <c r="I8" s="5" t="n"/>
      <c r="J8" s="5">
        <f>I8*C8</f>
        <v/>
      </c>
      <c r="K8" s="3" t="n"/>
      <c r="L8" s="4" t="n"/>
      <c r="M8" s="5" t="n"/>
      <c r="O8" s="5" t="n"/>
      <c r="P8" s="5" t="n"/>
      <c r="Q8" s="5">
        <f>O8-P8</f>
        <v/>
      </c>
      <c r="R8" s="5">
        <f>(Q8-(M8*12))*C8</f>
        <v/>
      </c>
      <c r="S8" s="3">
        <f>IF(F8&gt;0, I8/F8, 0)</f>
        <v/>
      </c>
      <c r="T8" s="6">
        <f>IF(M8&gt;0, Q8/(M8*12), 0)</f>
        <v/>
      </c>
    </row>
    <row r="9">
      <c r="C9" s="3" t="n"/>
      <c r="D9" s="4" t="n"/>
      <c r="E9" s="5" t="n"/>
      <c r="F9" s="5" t="n"/>
      <c r="G9" s="5">
        <f>F9*C9</f>
        <v/>
      </c>
      <c r="I9" s="5" t="n"/>
      <c r="J9" s="5">
        <f>I9*C9</f>
        <v/>
      </c>
      <c r="K9" s="3" t="n"/>
      <c r="L9" s="4" t="n"/>
      <c r="M9" s="5" t="n"/>
      <c r="O9" s="5" t="n"/>
      <c r="P9" s="5" t="n"/>
      <c r="Q9" s="5">
        <f>O9-P9</f>
        <v/>
      </c>
      <c r="R9" s="5">
        <f>(Q9-(M9*12))*C9</f>
        <v/>
      </c>
      <c r="S9" s="3">
        <f>IF(F9&gt;0, I9/F9, 0)</f>
        <v/>
      </c>
      <c r="T9" s="6">
        <f>IF(M9&gt;0, Q9/(M9*12), 0)</f>
        <v/>
      </c>
    </row>
    <row r="10">
      <c r="C10" s="3" t="n"/>
      <c r="D10" s="4" t="n"/>
      <c r="E10" s="5" t="n"/>
      <c r="F10" s="5" t="n"/>
      <c r="G10" s="5">
        <f>F10*C10</f>
        <v/>
      </c>
      <c r="I10" s="5" t="n"/>
      <c r="J10" s="5">
        <f>I10*C10</f>
        <v/>
      </c>
      <c r="K10" s="3" t="n"/>
      <c r="L10" s="4" t="n"/>
      <c r="M10" s="5" t="n"/>
      <c r="O10" s="5" t="n"/>
      <c r="P10" s="5" t="n"/>
      <c r="Q10" s="5">
        <f>O10-P10</f>
        <v/>
      </c>
      <c r="R10" s="5">
        <f>(Q10-(M10*12))*C10</f>
        <v/>
      </c>
      <c r="S10" s="3">
        <f>IF(F10&gt;0, I10/F10, 0)</f>
        <v/>
      </c>
      <c r="T10" s="6">
        <f>IF(M10&gt;0, Q10/(M10*12), 0)</f>
        <v/>
      </c>
    </row>
    <row r="11">
      <c r="C11" s="3" t="n"/>
      <c r="D11" s="4" t="n"/>
      <c r="E11" s="5" t="n"/>
      <c r="F11" s="5" t="n"/>
      <c r="G11" s="5">
        <f>F11*C11</f>
        <v/>
      </c>
      <c r="I11" s="5" t="n"/>
      <c r="J11" s="5">
        <f>I11*C11</f>
        <v/>
      </c>
      <c r="K11" s="3" t="n"/>
      <c r="L11" s="4" t="n"/>
      <c r="M11" s="5" t="n"/>
      <c r="O11" s="5" t="n"/>
      <c r="P11" s="5" t="n"/>
      <c r="Q11" s="5">
        <f>O11-P11</f>
        <v/>
      </c>
      <c r="R11" s="5">
        <f>(Q11-(M11*12))*C11</f>
        <v/>
      </c>
      <c r="S11" s="3">
        <f>IF(F11&gt;0, I11/F11, 0)</f>
        <v/>
      </c>
      <c r="T11" s="6">
        <f>IF(M11&gt;0, Q11/(M11*12), 0)</f>
        <v/>
      </c>
    </row>
    <row r="12">
      <c r="C12" s="3" t="n"/>
      <c r="D12" s="4" t="n"/>
      <c r="E12" s="5" t="n"/>
      <c r="F12" s="5" t="n"/>
      <c r="G12" s="5">
        <f>F12*C12</f>
        <v/>
      </c>
      <c r="I12" s="5" t="n"/>
      <c r="J12" s="5">
        <f>I12*C12</f>
        <v/>
      </c>
      <c r="K12" s="3" t="n"/>
      <c r="L12" s="4" t="n"/>
      <c r="M12" s="5" t="n"/>
      <c r="O12" s="5" t="n"/>
      <c r="P12" s="5" t="n"/>
      <c r="Q12" s="5">
        <f>O12-P12</f>
        <v/>
      </c>
      <c r="R12" s="5">
        <f>(Q12-(M12*12))*C12</f>
        <v/>
      </c>
      <c r="S12" s="3">
        <f>IF(F12&gt;0, I12/F12, 0)</f>
        <v/>
      </c>
      <c r="T12" s="6">
        <f>IF(M12&gt;0, Q12/(M12*12), 0)</f>
        <v/>
      </c>
    </row>
    <row r="13">
      <c r="C13" s="3" t="n"/>
      <c r="D13" s="4" t="n"/>
      <c r="E13" s="5" t="n"/>
      <c r="F13" s="5" t="n"/>
      <c r="G13" s="5">
        <f>F13*C13</f>
        <v/>
      </c>
      <c r="I13" s="5" t="n"/>
      <c r="J13" s="5">
        <f>I13*C13</f>
        <v/>
      </c>
      <c r="K13" s="3" t="n"/>
      <c r="L13" s="4" t="n"/>
      <c r="M13" s="5" t="n"/>
      <c r="O13" s="5" t="n"/>
      <c r="P13" s="5" t="n"/>
      <c r="Q13" s="5">
        <f>O13-P13</f>
        <v/>
      </c>
      <c r="R13" s="5">
        <f>(Q13-(M13*12))*C13</f>
        <v/>
      </c>
      <c r="S13" s="3">
        <f>IF(F13&gt;0, I13/F13, 0)</f>
        <v/>
      </c>
      <c r="T13" s="6">
        <f>IF(M13&gt;0, Q13/(M13*12), 0)</f>
        <v/>
      </c>
    </row>
    <row r="14">
      <c r="C14" s="3" t="n"/>
      <c r="D14" s="4" t="n"/>
      <c r="E14" s="5" t="n"/>
      <c r="F14" s="5" t="n"/>
      <c r="G14" s="5">
        <f>F14*C14</f>
        <v/>
      </c>
      <c r="I14" s="5" t="n"/>
      <c r="J14" s="5">
        <f>I14*C14</f>
        <v/>
      </c>
      <c r="K14" s="3" t="n"/>
      <c r="L14" s="4" t="n"/>
      <c r="M14" s="5" t="n"/>
      <c r="O14" s="5" t="n"/>
      <c r="P14" s="5" t="n"/>
      <c r="Q14" s="5">
        <f>O14-P14</f>
        <v/>
      </c>
      <c r="R14" s="5">
        <f>(Q14-(M14*12))*C14</f>
        <v/>
      </c>
      <c r="S14" s="3">
        <f>IF(F14&gt;0, I14/F14, 0)</f>
        <v/>
      </c>
      <c r="T14" s="6">
        <f>IF(M14&gt;0, Q14/(M14*12), 0)</f>
        <v/>
      </c>
    </row>
    <row r="15">
      <c r="C15" s="3" t="n"/>
      <c r="D15" s="4" t="n"/>
      <c r="E15" s="5" t="n"/>
      <c r="F15" s="5" t="n"/>
      <c r="G15" s="5">
        <f>F15*C15</f>
        <v/>
      </c>
      <c r="I15" s="5" t="n"/>
      <c r="J15" s="5">
        <f>I15*C15</f>
        <v/>
      </c>
      <c r="K15" s="3" t="n"/>
      <c r="L15" s="4" t="n"/>
      <c r="M15" s="5" t="n"/>
      <c r="O15" s="5" t="n"/>
      <c r="P15" s="5" t="n"/>
      <c r="Q15" s="5">
        <f>O15-P15</f>
        <v/>
      </c>
      <c r="R15" s="5">
        <f>(Q15-(M15*12))*C15</f>
        <v/>
      </c>
      <c r="S15" s="3">
        <f>IF(F15&gt;0, I15/F15, 0)</f>
        <v/>
      </c>
      <c r="T15" s="6">
        <f>IF(M15&gt;0, Q15/(M15*12), 0)</f>
        <v/>
      </c>
    </row>
    <row r="16">
      <c r="A16" s="7" t="inlineStr">
        <is>
          <t>TOTALS / AVERAGES</t>
        </is>
      </c>
      <c r="E16" s="8">
        <f>SUM(E6:E15)</f>
        <v/>
      </c>
      <c r="F16" s="8">
        <f>SUM(F6:F15)</f>
        <v/>
      </c>
      <c r="G16" s="8">
        <f>SUM(G6:G15)</f>
        <v/>
      </c>
      <c r="I16" s="8">
        <f>SUM(I6:I15)</f>
        <v/>
      </c>
      <c r="J16" s="8">
        <f>SUM(J6:J15)</f>
        <v/>
      </c>
      <c r="M16" s="8">
        <f>SUM(M6:M15)</f>
        <v/>
      </c>
      <c r="O16" s="8">
        <f>SUM(O6:O15)</f>
        <v/>
      </c>
      <c r="P16" s="8">
        <f>SUM(P6:P15)</f>
        <v/>
      </c>
      <c r="Q16" s="8">
        <f>SUM(Q6:Q15)</f>
        <v/>
      </c>
      <c r="R16" s="8">
        <f>SUM(R6:R15)</f>
        <v/>
      </c>
    </row>
    <row r="19">
      <c r="B19" s="9" t="inlineStr">
        <is>
          <t>Portfolio Metrics</t>
        </is>
      </c>
    </row>
    <row r="20">
      <c r="B20" t="inlineStr">
        <is>
          <t>Portfolio LTV</t>
        </is>
      </c>
      <c r="C20" s="3">
        <f>IF(G16&gt;0, J16/G16, 0)</f>
        <v/>
      </c>
    </row>
    <row r="21">
      <c r="B21" t="inlineStr">
        <is>
          <t>Portfolio DSCR</t>
        </is>
      </c>
      <c r="C21" s="10">
        <f>IF(M16&gt;0, Q16/(M16*12), 0)</f>
        <v/>
      </c>
    </row>
    <row r="22">
      <c r="B22" t="inlineStr">
        <is>
          <t>Liquidity Need</t>
        </is>
      </c>
      <c r="C22" s="5">
        <f>SUMIF(R6:R15, "&lt;0")</f>
        <v/>
      </c>
    </row>
  </sheetData>
  <mergeCells count="1">
    <mergeCell ref="B2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2026-01-17T13:40:13Z</dcterms:created>
  <dcterms:modified xsi:type="dcterms:W3CDTF">2026-01-17T13:40:13Z</dcterms:modified>
</cp:coreProperties>
</file>