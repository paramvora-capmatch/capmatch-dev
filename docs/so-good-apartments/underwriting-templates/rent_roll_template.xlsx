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Rent Roll" sheetId="1" state="visible" r:id="rId1"/>
  </sheets>
  <definedNames>
    <definedName name="_xlnm.Print_Titles" localSheetId="0">'Current Rent Roll'!$6:$6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mm/dd/yyyy"/>
    <numFmt numFmtId="166" formatCode="&quot;$&quot;#,##0"/>
    <numFmt numFmtId="167" formatCode="&quot;$&quot;#,##0.00"/>
    <numFmt numFmtId="168" formatCode="0.0%"/>
  </numFmts>
  <fonts count="6">
    <font>
      <name val="Calibri"/>
      <family val="2"/>
      <color theme="1"/>
      <sz val="11"/>
      <scheme val="minor"/>
    </font>
    <font>
      <b val="1"/>
      <i val="1"/>
      <color rgb="00000000"/>
      <sz val="16"/>
    </font>
    <font>
      <b val="1"/>
      <sz val="14"/>
    </font>
    <font>
      <b val="1"/>
      <color rgb="00FFFFFF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166" fontId="4" fillId="3" borderId="1" pivotButton="0" quotePrefix="0" xfId="0"/>
    <xf numFmtId="167" fontId="4" fillId="3" borderId="1" pivotButton="0" quotePrefix="0" xfId="0"/>
    <xf numFmtId="0" fontId="5" fillId="0" borderId="0" pivotButton="0" quotePrefix="0" xfId="0"/>
    <xf numFmtId="0" fontId="4" fillId="0" borderId="0" applyAlignment="1" pivotButton="0" quotePrefix="0" xfId="0">
      <alignment horizontal="right"/>
    </xf>
    <xf numFmtId="168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L3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8" customWidth="1" min="4" max="4"/>
    <col width="10" customWidth="1" min="5" max="5"/>
    <col width="12" customWidth="1" min="6" max="6"/>
    <col width="25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</cols>
  <sheetData>
    <row r="1" ht="40" customHeight="1"/>
    <row r="2" ht="20" customHeight="1">
      <c r="B2" s="1" t="inlineStr">
        <is>
          <t>Verified by Capmatch</t>
        </is>
      </c>
    </row>
    <row r="3" ht="20" customHeight="1"/>
    <row r="5" ht="25" customHeight="1">
      <c r="A5" s="2" t="inlineStr">
        <is>
          <t>CURRENT RENT ROLL</t>
        </is>
      </c>
    </row>
    <row r="6" ht="30" customHeight="1">
      <c r="A6" s="3" t="inlineStr">
        <is>
          <t>Unit #</t>
        </is>
      </c>
      <c r="B6" s="3" t="inlineStr">
        <is>
          <t>Unit Type</t>
        </is>
      </c>
      <c r="C6" s="3" t="inlineStr">
        <is>
          <t>Beds</t>
        </is>
      </c>
      <c r="D6" s="3" t="inlineStr">
        <is>
          <t>Baths</t>
        </is>
      </c>
      <c r="E6" s="3" t="inlineStr">
        <is>
          <t>SF</t>
        </is>
      </c>
      <c r="F6" s="3" t="inlineStr">
        <is>
          <t>Status</t>
        </is>
      </c>
      <c r="G6" s="3" t="inlineStr">
        <is>
          <t>Tenant Name</t>
        </is>
      </c>
      <c r="H6" s="3" t="inlineStr">
        <is>
          <t>Lease Start</t>
        </is>
      </c>
      <c r="I6" s="3" t="inlineStr">
        <is>
          <t>Lease End</t>
        </is>
      </c>
      <c r="J6" s="3" t="inlineStr">
        <is>
          <t>Monthly Rent</t>
        </is>
      </c>
      <c r="K6" s="3" t="inlineStr">
        <is>
          <t>Annual Rent</t>
        </is>
      </c>
      <c r="L6" s="3" t="inlineStr">
        <is>
          <t>Rent/SF</t>
        </is>
      </c>
    </row>
    <row r="7">
      <c r="A7" s="4" t="n"/>
      <c r="B7" s="4" t="n"/>
      <c r="C7" s="5" t="n"/>
      <c r="D7" s="6" t="n"/>
      <c r="E7" s="7" t="n"/>
      <c r="F7" s="4" t="n"/>
      <c r="G7" s="4" t="n"/>
      <c r="H7" s="8" t="n"/>
      <c r="I7" s="8" t="n"/>
      <c r="J7" s="9" t="n"/>
      <c r="K7" s="9">
        <f>J7*12</f>
        <v/>
      </c>
      <c r="L7" s="10">
        <f>IF(E7&gt;0,J7/E7,0)</f>
        <v/>
      </c>
    </row>
    <row r="8">
      <c r="A8" s="4" t="n"/>
      <c r="B8" s="4" t="n"/>
      <c r="C8" s="5" t="n"/>
      <c r="D8" s="6" t="n"/>
      <c r="E8" s="7" t="n"/>
      <c r="F8" s="4" t="n"/>
      <c r="G8" s="4" t="n"/>
      <c r="H8" s="8" t="n"/>
      <c r="I8" s="8" t="n"/>
      <c r="J8" s="9" t="n"/>
      <c r="K8" s="9">
        <f>J8*12</f>
        <v/>
      </c>
      <c r="L8" s="10">
        <f>IF(E8&gt;0,J8/E8,0)</f>
        <v/>
      </c>
    </row>
    <row r="9">
      <c r="A9" s="4" t="n"/>
      <c r="B9" s="4" t="n"/>
      <c r="C9" s="5" t="n"/>
      <c r="D9" s="6" t="n"/>
      <c r="E9" s="7" t="n"/>
      <c r="F9" s="4" t="n"/>
      <c r="G9" s="4" t="n"/>
      <c r="H9" s="8" t="n"/>
      <c r="I9" s="8" t="n"/>
      <c r="J9" s="9" t="n"/>
      <c r="K9" s="9">
        <f>J9*12</f>
        <v/>
      </c>
      <c r="L9" s="10">
        <f>IF(E9&gt;0,J9/E9,0)</f>
        <v/>
      </c>
    </row>
    <row r="10">
      <c r="A10" s="4" t="n"/>
      <c r="B10" s="4" t="n"/>
      <c r="C10" s="5" t="n"/>
      <c r="D10" s="6" t="n"/>
      <c r="E10" s="7" t="n"/>
      <c r="F10" s="4" t="n"/>
      <c r="G10" s="4" t="n"/>
      <c r="H10" s="8" t="n"/>
      <c r="I10" s="8" t="n"/>
      <c r="J10" s="9" t="n"/>
      <c r="K10" s="9">
        <f>J10*12</f>
        <v/>
      </c>
      <c r="L10" s="10">
        <f>IF(E10&gt;0,J10/E10,0)</f>
        <v/>
      </c>
    </row>
    <row r="11">
      <c r="A11" s="4" t="n"/>
      <c r="B11" s="4" t="n"/>
      <c r="C11" s="5" t="n"/>
      <c r="D11" s="6" t="n"/>
      <c r="E11" s="7" t="n"/>
      <c r="F11" s="4" t="n"/>
      <c r="G11" s="4" t="n"/>
      <c r="H11" s="8" t="n"/>
      <c r="I11" s="8" t="n"/>
      <c r="J11" s="9" t="n"/>
      <c r="K11" s="9">
        <f>J11*12</f>
        <v/>
      </c>
      <c r="L11" s="10">
        <f>IF(E11&gt;0,J11/E11,0)</f>
        <v/>
      </c>
    </row>
    <row r="12">
      <c r="A12" s="4" t="n"/>
      <c r="B12" s="4" t="n"/>
      <c r="C12" s="5" t="n"/>
      <c r="D12" s="6" t="n"/>
      <c r="E12" s="7" t="n"/>
      <c r="F12" s="4" t="n"/>
      <c r="G12" s="4" t="n"/>
      <c r="H12" s="8" t="n"/>
      <c r="I12" s="8" t="n"/>
      <c r="J12" s="9" t="n"/>
      <c r="K12" s="9">
        <f>J12*12</f>
        <v/>
      </c>
      <c r="L12" s="10">
        <f>IF(E12&gt;0,J12/E12,0)</f>
        <v/>
      </c>
    </row>
    <row r="13">
      <c r="A13" s="4" t="n"/>
      <c r="B13" s="4" t="n"/>
      <c r="C13" s="5" t="n"/>
      <c r="D13" s="6" t="n"/>
      <c r="E13" s="7" t="n"/>
      <c r="F13" s="4" t="n"/>
      <c r="G13" s="4" t="n"/>
      <c r="H13" s="8" t="n"/>
      <c r="I13" s="8" t="n"/>
      <c r="J13" s="9" t="n"/>
      <c r="K13" s="9">
        <f>J13*12</f>
        <v/>
      </c>
      <c r="L13" s="10">
        <f>IF(E13&gt;0,J13/E13,0)</f>
        <v/>
      </c>
    </row>
    <row r="14">
      <c r="A14" s="4" t="n"/>
      <c r="B14" s="4" t="n"/>
      <c r="C14" s="5" t="n"/>
      <c r="D14" s="6" t="n"/>
      <c r="E14" s="7" t="n"/>
      <c r="F14" s="4" t="n"/>
      <c r="G14" s="4" t="n"/>
      <c r="H14" s="8" t="n"/>
      <c r="I14" s="8" t="n"/>
      <c r="J14" s="9" t="n"/>
      <c r="K14" s="9">
        <f>J14*12</f>
        <v/>
      </c>
      <c r="L14" s="10">
        <f>IF(E14&gt;0,J14/E14,0)</f>
        <v/>
      </c>
    </row>
    <row r="15">
      <c r="A15" s="4" t="n"/>
      <c r="B15" s="4" t="n"/>
      <c r="C15" s="5" t="n"/>
      <c r="D15" s="6" t="n"/>
      <c r="E15" s="7" t="n"/>
      <c r="F15" s="4" t="n"/>
      <c r="G15" s="4" t="n"/>
      <c r="H15" s="8" t="n"/>
      <c r="I15" s="8" t="n"/>
      <c r="J15" s="9" t="n"/>
      <c r="K15" s="9">
        <f>J15*12</f>
        <v/>
      </c>
      <c r="L15" s="10">
        <f>IF(E15&gt;0,J15/E15,0)</f>
        <v/>
      </c>
    </row>
    <row r="16">
      <c r="A16" s="4" t="n"/>
      <c r="B16" s="4" t="n"/>
      <c r="C16" s="5" t="n"/>
      <c r="D16" s="6" t="n"/>
      <c r="E16" s="7" t="n"/>
      <c r="F16" s="4" t="n"/>
      <c r="G16" s="4" t="n"/>
      <c r="H16" s="8" t="n"/>
      <c r="I16" s="8" t="n"/>
      <c r="J16" s="9" t="n"/>
      <c r="K16" s="9">
        <f>J16*12</f>
        <v/>
      </c>
      <c r="L16" s="10">
        <f>IF(E16&gt;0,J16/E16,0)</f>
        <v/>
      </c>
    </row>
    <row r="17">
      <c r="A17" s="4" t="n"/>
      <c r="B17" s="4" t="n"/>
      <c r="C17" s="5" t="n"/>
      <c r="D17" s="6" t="n"/>
      <c r="E17" s="7" t="n"/>
      <c r="F17" s="4" t="n"/>
      <c r="G17" s="4" t="n"/>
      <c r="H17" s="8" t="n"/>
      <c r="I17" s="8" t="n"/>
      <c r="J17" s="9" t="n"/>
      <c r="K17" s="9">
        <f>J17*12</f>
        <v/>
      </c>
      <c r="L17" s="10">
        <f>IF(E17&gt;0,J17/E17,0)</f>
        <v/>
      </c>
    </row>
    <row r="18">
      <c r="A18" s="4" t="n"/>
      <c r="B18" s="4" t="n"/>
      <c r="C18" s="5" t="n"/>
      <c r="D18" s="6" t="n"/>
      <c r="E18" s="7" t="n"/>
      <c r="F18" s="4" t="n"/>
      <c r="G18" s="4" t="n"/>
      <c r="H18" s="8" t="n"/>
      <c r="I18" s="8" t="n"/>
      <c r="J18" s="9" t="n"/>
      <c r="K18" s="9">
        <f>J18*12</f>
        <v/>
      </c>
      <c r="L18" s="10">
        <f>IF(E18&gt;0,J18/E18,0)</f>
        <v/>
      </c>
    </row>
    <row r="19">
      <c r="A19" s="4" t="n"/>
      <c r="B19" s="4" t="n"/>
      <c r="C19" s="5" t="n"/>
      <c r="D19" s="6" t="n"/>
      <c r="E19" s="7" t="n"/>
      <c r="F19" s="4" t="n"/>
      <c r="G19" s="4" t="n"/>
      <c r="H19" s="8" t="n"/>
      <c r="I19" s="8" t="n"/>
      <c r="J19" s="9" t="n"/>
      <c r="K19" s="9">
        <f>J19*12</f>
        <v/>
      </c>
      <c r="L19" s="10">
        <f>IF(E19&gt;0,J19/E19,0)</f>
        <v/>
      </c>
    </row>
    <row r="20">
      <c r="A20" s="4" t="n"/>
      <c r="B20" s="4" t="n"/>
      <c r="C20" s="5" t="n"/>
      <c r="D20" s="6" t="n"/>
      <c r="E20" s="7" t="n"/>
      <c r="F20" s="4" t="n"/>
      <c r="G20" s="4" t="n"/>
      <c r="H20" s="8" t="n"/>
      <c r="I20" s="8" t="n"/>
      <c r="J20" s="9" t="n"/>
      <c r="K20" s="9">
        <f>J20*12</f>
        <v/>
      </c>
      <c r="L20" s="10">
        <f>IF(E20&gt;0,J20/E20,0)</f>
        <v/>
      </c>
    </row>
    <row r="21">
      <c r="A21" s="4" t="n"/>
      <c r="B21" s="4" t="n"/>
      <c r="C21" s="5" t="n"/>
      <c r="D21" s="6" t="n"/>
      <c r="E21" s="7" t="n"/>
      <c r="F21" s="4" t="n"/>
      <c r="G21" s="4" t="n"/>
      <c r="H21" s="8" t="n"/>
      <c r="I21" s="8" t="n"/>
      <c r="J21" s="9" t="n"/>
      <c r="K21" s="9">
        <f>J21*12</f>
        <v/>
      </c>
      <c r="L21" s="10">
        <f>IF(E21&gt;0,J21/E21,0)</f>
        <v/>
      </c>
    </row>
    <row r="22">
      <c r="A22" s="4" t="n"/>
      <c r="B22" s="4" t="n"/>
      <c r="C22" s="5" t="n"/>
      <c r="D22" s="6" t="n"/>
      <c r="E22" s="7" t="n"/>
      <c r="F22" s="4" t="n"/>
      <c r="G22" s="4" t="n"/>
      <c r="H22" s="8" t="n"/>
      <c r="I22" s="8" t="n"/>
      <c r="J22" s="9" t="n"/>
      <c r="K22" s="9">
        <f>J22*12</f>
        <v/>
      </c>
      <c r="L22" s="10">
        <f>IF(E22&gt;0,J22/E22,0)</f>
        <v/>
      </c>
    </row>
    <row r="23">
      <c r="A23" s="4" t="n"/>
      <c r="B23" s="4" t="n"/>
      <c r="C23" s="5" t="n"/>
      <c r="D23" s="6" t="n"/>
      <c r="E23" s="7" t="n"/>
      <c r="F23" s="4" t="n"/>
      <c r="G23" s="4" t="n"/>
      <c r="H23" s="8" t="n"/>
      <c r="I23" s="8" t="n"/>
      <c r="J23" s="9" t="n"/>
      <c r="K23" s="9">
        <f>J23*12</f>
        <v/>
      </c>
      <c r="L23" s="10">
        <f>IF(E23&gt;0,J23/E23,0)</f>
        <v/>
      </c>
    </row>
    <row r="24">
      <c r="A24" s="4" t="n"/>
      <c r="B24" s="4" t="n"/>
      <c r="C24" s="5" t="n"/>
      <c r="D24" s="6" t="n"/>
      <c r="E24" s="7" t="n"/>
      <c r="F24" s="4" t="n"/>
      <c r="G24" s="4" t="n"/>
      <c r="H24" s="8" t="n"/>
      <c r="I24" s="8" t="n"/>
      <c r="J24" s="9" t="n"/>
      <c r="K24" s="9">
        <f>J24*12</f>
        <v/>
      </c>
      <c r="L24" s="10">
        <f>IF(E24&gt;0,J24/E24,0)</f>
        <v/>
      </c>
    </row>
    <row r="25">
      <c r="A25" s="4" t="n"/>
      <c r="B25" s="4" t="n"/>
      <c r="C25" s="5" t="n"/>
      <c r="D25" s="6" t="n"/>
      <c r="E25" s="7" t="n"/>
      <c r="F25" s="4" t="n"/>
      <c r="G25" s="4" t="n"/>
      <c r="H25" s="8" t="n"/>
      <c r="I25" s="8" t="n"/>
      <c r="J25" s="9" t="n"/>
      <c r="K25" s="9">
        <f>J25*12</f>
        <v/>
      </c>
      <c r="L25" s="10">
        <f>IF(E25&gt;0,J25/E25,0)</f>
        <v/>
      </c>
    </row>
    <row r="26">
      <c r="A26" s="4" t="n"/>
      <c r="B26" s="4" t="n"/>
      <c r="C26" s="5" t="n"/>
      <c r="D26" s="6" t="n"/>
      <c r="E26" s="7" t="n"/>
      <c r="F26" s="4" t="n"/>
      <c r="G26" s="4" t="n"/>
      <c r="H26" s="8" t="n"/>
      <c r="I26" s="8" t="n"/>
      <c r="J26" s="9" t="n"/>
      <c r="K26" s="9">
        <f>J26*12</f>
        <v/>
      </c>
      <c r="L26" s="10">
        <f>IF(E26&gt;0,J26/E26,0)</f>
        <v/>
      </c>
    </row>
    <row r="27" ht="25" customHeight="1">
      <c r="A27" s="11" t="inlineStr">
        <is>
          <t>TOTALS</t>
        </is>
      </c>
      <c r="B27" s="11" t="n"/>
      <c r="C27" s="11" t="n"/>
      <c r="D27" s="11" t="n"/>
      <c r="E27" s="12">
        <f>SUM(E7:E26)</f>
        <v/>
      </c>
      <c r="F27" s="11" t="n"/>
      <c r="G27" s="11" t="n"/>
      <c r="H27" s="11" t="n"/>
      <c r="I27" s="11" t="n"/>
      <c r="J27" s="13">
        <f>SUM(J7:J26)</f>
        <v/>
      </c>
      <c r="K27" s="13">
        <f>SUM(K7:K26)</f>
        <v/>
      </c>
      <c r="L27" s="14">
        <f>IF(E27&gt;0,J27/E27,0)</f>
        <v/>
      </c>
    </row>
    <row r="29">
      <c r="A29" s="15" t="inlineStr">
        <is>
          <t>SUMMARY METRICS</t>
        </is>
      </c>
    </row>
    <row r="30">
      <c r="A30" s="16" t="inlineStr">
        <is>
          <t>Total Units</t>
        </is>
      </c>
      <c r="B30">
        <f>COUNTA(A7:A26)</f>
        <v/>
      </c>
    </row>
    <row r="31">
      <c r="A31" s="16" t="inlineStr">
        <is>
          <t>Occupied Units</t>
        </is>
      </c>
      <c r="B31">
        <f>COUNTIF(F7:F26,"Occupied")</f>
        <v/>
      </c>
    </row>
    <row r="32">
      <c r="A32" s="16" t="inlineStr">
        <is>
          <t>Vacant Units</t>
        </is>
      </c>
      <c r="B32">
        <f>COUNTIF(F7:F26,"Vacant")</f>
        <v/>
      </c>
    </row>
    <row r="33">
      <c r="A33" s="16" t="inlineStr">
        <is>
          <t>Occupancy Rate</t>
        </is>
      </c>
      <c r="B33" s="17">
        <f>IF(COUNTA(A7:A26)&gt;0,COUNTIF(F7:F26,"Occupied")/COUNTA(A7:A26),0)</f>
        <v/>
      </c>
    </row>
    <row r="34">
      <c r="A34" s="16" t="inlineStr">
        <is>
          <t>Total SF</t>
        </is>
      </c>
      <c r="B34" s="18">
        <f>E27</f>
        <v/>
      </c>
    </row>
    <row r="35">
      <c r="A35" s="16" t="inlineStr">
        <is>
          <t>Total Monthly Rent</t>
        </is>
      </c>
      <c r="B35" s="19">
        <f>J27</f>
        <v/>
      </c>
    </row>
    <row r="36">
      <c r="A36" s="16" t="inlineStr">
        <is>
          <t>Total Annual Rent</t>
        </is>
      </c>
      <c r="B36" s="19">
        <f>K27</f>
        <v/>
      </c>
    </row>
    <row r="37">
      <c r="A37" s="16" t="inlineStr">
        <is>
          <t>Avg Monthly Rent</t>
        </is>
      </c>
      <c r="B37" s="19">
        <f>IF(COUNTA(A7:A26)&gt;0,J27/COUNTA(A7:A26),0)</f>
        <v/>
      </c>
    </row>
    <row r="38">
      <c r="A38" s="16" t="inlineStr">
        <is>
          <t>Avg Rent/SF</t>
        </is>
      </c>
      <c r="B38" s="20">
        <f>L27</f>
        <v/>
      </c>
    </row>
  </sheetData>
  <mergeCells count="1">
    <mergeCell ref="B2:E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2026-01-18T13:53:35Z</dcterms:created>
  <dcterms:modified xsi:type="dcterms:W3CDTF">2026-01-18T13:53:35Z</dcterms:modified>
</cp:coreProperties>
</file>