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12 Detailed" sheetId="1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<sst xmlns="http://schemas.openxmlformats.org/spreadsheetml/2006/main" count="121" uniqueCount="121">
  <si>
    <t xml:space="preserve">Income Statement - 12 Month</t>
  </si>
  <si>
    <t xml:space="preserve">[Borrower Corporation]</t>
  </si>
  <si>
    <r>
      <rPr>
        <b/>
        <sz val="7.5"/>
        <color indexed="64"/>
        <rFont val="Verdana"/>
      </rPr>
      <t xml:space="preserve">Fund Type: </t>
    </r>
    <r>
      <rPr>
        <sz val="7.5"/>
        <color indexed="64"/>
        <rFont val="Verdana"/>
      </rPr>
      <t>All</t>
    </r>
  </si>
  <si>
    <t xml:space="preserve">T12 Total</t>
  </si>
  <si>
    <r>
      <rPr>
        <b/>
        <sz val="7.5"/>
        <color indexed="64"/>
        <rFont val="Verdana"/>
      </rPr>
      <t xml:space="preserve">Period Range: </t>
    </r>
    <r>
      <rPr>
        <sz val="7.5"/>
        <color indexed="64"/>
        <rFont val="Verdana"/>
      </rPr>
      <t xml:space="preserve">Nov 2024 to Oct 2025 (Trailing 12 Months)</t>
    </r>
  </si>
  <si>
    <r>
      <rPr>
        <b/>
        <sz val="7.5"/>
        <color indexed="64"/>
        <rFont val="Verdana"/>
      </rPr>
      <t xml:space="preserve">Accounting Basis: </t>
    </r>
    <r>
      <rPr>
        <sz val="7.5"/>
        <color indexed="64"/>
        <rFont val="Verdana"/>
      </rPr>
      <t>Actual</t>
    </r>
  </si>
  <si>
    <r>
      <rPr>
        <b/>
        <sz val="7.5"/>
        <color indexed="64"/>
        <rFont val="Verdana"/>
      </rPr>
      <t xml:space="preserve">Level of Detail: </t>
    </r>
    <r>
      <rPr>
        <sz val="7.5"/>
        <color indexed="64"/>
        <rFont val="Verdana"/>
      </rPr>
      <t xml:space="preserve">Detail View</t>
    </r>
  </si>
  <si>
    <t xml:space="preserve">Account Name</t>
  </si>
  <si>
    <t>Total</t>
  </si>
  <si>
    <t xml:space="preserve">Operating Income &amp; Expense</t>
  </si>
  <si>
    <t xml:space="preserve">    Income</t>
  </si>
  <si>
    <t xml:space="preserve">        Property Management Income</t>
  </si>
  <si>
    <t xml:space="preserve">            Tenant Rent Income</t>
  </si>
  <si>
    <t xml:space="preserve">            Equipment Rental Income</t>
  </si>
  <si>
    <t xml:space="preserve">            Application Fees Income</t>
  </si>
  <si>
    <t xml:space="preserve">            Insurance Services Fee Income</t>
  </si>
  <si>
    <t xml:space="preserve">            Pet Rent Income</t>
  </si>
  <si>
    <t xml:space="preserve">            Parking Rent Income</t>
  </si>
  <si>
    <t xml:space="preserve">            Termination Fee Income </t>
  </si>
  <si>
    <t xml:space="preserve">            Short Term Lease Fee Income</t>
  </si>
  <si>
    <t xml:space="preserve">            Month to Month Income </t>
  </si>
  <si>
    <t xml:space="preserve">            Rent Concessions Loss Income</t>
  </si>
  <si>
    <t xml:space="preserve">        Total Property Management Income</t>
  </si>
  <si>
    <t xml:space="preserve">        Reimbursement Income</t>
  </si>
  <si>
    <t xml:space="preserve">            Electric Reimbursement Income</t>
  </si>
  <si>
    <t xml:space="preserve">            Gas Reimbursement Income</t>
  </si>
  <si>
    <t xml:space="preserve">            Water &amp; Sewer Reimbursement Income</t>
  </si>
  <si>
    <t xml:space="preserve">            Insurance Reimbursement Income</t>
  </si>
  <si>
    <t xml:space="preserve">            Trash Reimbursement Income</t>
  </si>
  <si>
    <t xml:space="preserve">            Apartment Turnover Reimbursement Income</t>
  </si>
  <si>
    <t xml:space="preserve">        Total Reimbursement Income</t>
  </si>
  <si>
    <t xml:space="preserve">        Late Fee Income</t>
  </si>
  <si>
    <t xml:space="preserve">        Miscellaneous Income</t>
  </si>
  <si>
    <t xml:space="preserve">        NSF Fee Income</t>
  </si>
  <si>
    <t xml:space="preserve">    Total Operating Income</t>
  </si>
  <si>
    <t xml:space="preserve">    Expense</t>
  </si>
  <si>
    <t xml:space="preserve">        Advertising &amp; Promotion</t>
  </si>
  <si>
    <t xml:space="preserve">        Tenant Relations</t>
  </si>
  <si>
    <t xml:space="preserve">        Dues and Subscriptions</t>
  </si>
  <si>
    <t xml:space="preserve">        Equipment &amp; Infrastructure</t>
  </si>
  <si>
    <t xml:space="preserve">        Acquisitions and Marketing</t>
  </si>
  <si>
    <t xml:space="preserve">        Fees</t>
  </si>
  <si>
    <t xml:space="preserve">            Online Processing Fees &amp; Credit Card Fees</t>
  </si>
  <si>
    <t xml:space="preserve">            Bank Charges</t>
  </si>
  <si>
    <t xml:space="preserve">            Finance Charges</t>
  </si>
  <si>
    <t xml:space="preserve">        Total Fees</t>
  </si>
  <si>
    <t xml:space="preserve">        Information Technology</t>
  </si>
  <si>
    <t xml:space="preserve">        Insurance Expense</t>
  </si>
  <si>
    <t xml:space="preserve">            Property &amp; Liability Insurance Expense</t>
  </si>
  <si>
    <t xml:space="preserve">        Total Insurance Expense</t>
  </si>
  <si>
    <t xml:space="preserve">        Management &amp; Professional Services</t>
  </si>
  <si>
    <t xml:space="preserve">            Bookkeeping</t>
  </si>
  <si>
    <t xml:space="preserve">            Property Manager</t>
  </si>
  <si>
    <t xml:space="preserve">            Leasing Assistant</t>
  </si>
  <si>
    <t xml:space="preserve">        Total Management &amp; Professional Services</t>
  </si>
  <si>
    <t xml:space="preserve">        Legal Fees - Operating</t>
  </si>
  <si>
    <t xml:space="preserve">        Move Out Expense Unit Turnover</t>
  </si>
  <si>
    <t xml:space="preserve">        Appliance Repairs</t>
  </si>
  <si>
    <t xml:space="preserve">        Cleaning Services</t>
  </si>
  <si>
    <t xml:space="preserve">        Cleaning Supplies</t>
  </si>
  <si>
    <t xml:space="preserve">        Electrical Repairs</t>
  </si>
  <si>
    <t xml:space="preserve">        Elevator Maintenance - Contract</t>
  </si>
  <si>
    <t xml:space="preserve">        Elevator Maintenance - Other</t>
  </si>
  <si>
    <t xml:space="preserve">        Parking Lot Repairs</t>
  </si>
  <si>
    <t xml:space="preserve">        Exterior Building Repairs</t>
  </si>
  <si>
    <t xml:space="preserve">        Ceiling Tiles</t>
  </si>
  <si>
    <t xml:space="preserve">        Fire Protection - Contract</t>
  </si>
  <si>
    <t xml:space="preserve">        Fire Protection - Other</t>
  </si>
  <si>
    <t xml:space="preserve">        General Maintenance Supplies</t>
  </si>
  <si>
    <t xml:space="preserve">        General Maintenance Repairs</t>
  </si>
  <si>
    <t xml:space="preserve">        Grounds Maintenance</t>
  </si>
  <si>
    <t xml:space="preserve">        HVAC Repairs</t>
  </si>
  <si>
    <t xml:space="preserve">        Keys &amp; Locks</t>
  </si>
  <si>
    <t xml:space="preserve">        Lighting</t>
  </si>
  <si>
    <t xml:space="preserve">        Painting</t>
  </si>
  <si>
    <t xml:space="preserve">        Pest Control</t>
  </si>
  <si>
    <t xml:space="preserve">        Plumbing Expense</t>
  </si>
  <si>
    <t xml:space="preserve">        Snow Removal</t>
  </si>
  <si>
    <t xml:space="preserve">        Windows &amp; Doors</t>
  </si>
  <si>
    <t xml:space="preserve">        Office Supplies &amp; Expenses</t>
  </si>
  <si>
    <t xml:space="preserve">        Real Estate Property Tax Expense</t>
  </si>
  <si>
    <t xml:space="preserve">        Utilities Expense</t>
  </si>
  <si>
    <t xml:space="preserve">            Electricity Expense</t>
  </si>
  <si>
    <t xml:space="preserve">            Gas Expense</t>
  </si>
  <si>
    <t xml:space="preserve">            Water &amp; Sewer Expense</t>
  </si>
  <si>
    <t xml:space="preserve">            Trash &amp; Recycling Services Expense</t>
  </si>
  <si>
    <t xml:space="preserve">            Electricity - Vacant Expense</t>
  </si>
  <si>
    <t xml:space="preserve">        Total Utilities Expense</t>
  </si>
  <si>
    <t xml:space="preserve">    Total Operating Expense</t>
  </si>
  <si>
    <t xml:space="preserve">    NOI - Net Operating Income</t>
  </si>
  <si>
    <t xml:space="preserve">Other Income &amp; Expense</t>
  </si>
  <si>
    <t xml:space="preserve">    Other Income</t>
  </si>
  <si>
    <t xml:space="preserve">        Property Tax Appeal Refund Income</t>
  </si>
  <si>
    <t xml:space="preserve">    Total Other Income</t>
  </si>
  <si>
    <t xml:space="preserve">    Other Expense</t>
  </si>
  <si>
    <t xml:space="preserve">        Tax Return Preparation &amp; Consultation</t>
  </si>
  <si>
    <t xml:space="preserve">        Interest Expense on Loans</t>
  </si>
  <si>
    <t xml:space="preserve">            Key Bank Interest Expense</t>
  </si>
  <si>
    <t xml:space="preserve">        Total Interest Expense on Loans</t>
  </si>
  <si>
    <t xml:space="preserve">        Bad Debt Expense</t>
  </si>
  <si>
    <t xml:space="preserve">        Penalties &amp; Fines Expense</t>
  </si>
  <si>
    <t xml:space="preserve">        Interest Expense</t>
  </si>
  <si>
    <t xml:space="preserve">        Closing Costs</t>
  </si>
  <si>
    <t xml:space="preserve">        Miscellaneous Expenses</t>
  </si>
  <si>
    <t xml:space="preserve">            Outside Services One-time Cost</t>
  </si>
  <si>
    <t xml:space="preserve">            Disaster Cleanup</t>
  </si>
  <si>
    <t xml:space="preserve">            Late Fee Expense</t>
  </si>
  <si>
    <t xml:space="preserve">            Reimbursable Expenses</t>
  </si>
  <si>
    <t xml:space="preserve">        Total Miscellaneous Expenses</t>
  </si>
  <si>
    <t xml:space="preserve">        Capital Expense</t>
  </si>
  <si>
    <t xml:space="preserve">            Capital Improvements - General</t>
  </si>
  <si>
    <t xml:space="preserve">            Capital Improvements - Appliances</t>
  </si>
  <si>
    <t xml:space="preserve">            Capital Improvements - Painting</t>
  </si>
  <si>
    <t xml:space="preserve">            Capital Improvements -  HVAC</t>
  </si>
  <si>
    <t xml:space="preserve">        Total Capital Expense</t>
  </si>
  <si>
    <t xml:space="preserve">        Suspense</t>
  </si>
  <si>
    <t xml:space="preserve">    Total Other Expense</t>
  </si>
  <si>
    <t xml:space="preserve">    Net Other Income</t>
  </si>
  <si>
    <t xml:space="preserve">    Total Income</t>
  </si>
  <si>
    <t xml:space="preserve">    Total Expense</t>
  </si>
  <si>
    <t xml:space="preserve">    Net Income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</si>
</sst>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b/>
      <sz val="13.500000"/>
      <color rgb="FF242424"/>
      <name val="Arial"/>
    </font>
    <font>
      <sz val="7.000000"/>
      <color indexed="64"/>
      <name val="Verdana"/>
    </font>
    <font>
      <b/>
      <sz val="7.500000"/>
      <color indexed="64"/>
      <name val="Verdana"/>
    </font>
    <font>
      <sz val="7.500000"/>
      <color indexed="64"/>
      <name val="Verdana"/>
    </font>
    <font>
      <b/>
      <color indexed="65"/>
    </font>
    <font/>
    <font>
      <b/>
      <sz val="10.000000"/>
      <color rgb="FF242424"/>
      <name val="Arial"/>
    </font>
    <font>
      <b/>
    </font>
    <font>
      <b/>
      <sz val="9.000000"/>
      <color rgb="FF242424"/>
      <name val="Arial"/>
    </font>
    <font>
      <sz val="9.000000"/>
      <color rgb="FF242424"/>
      <name val="Arial"/>
    </font>
  </fonts>
  <fills count="4">
    <fill>
      <patternFill patternType="none"/>
    </fill>
    <fill>
      <patternFill patternType="gray125"/>
    </fill>
    <fill>
      <patternFill patternType="solid">
        <fgColor rgb="FFE7F0F7"/>
        <bgColor rgb="FFE7F0F7"/>
      </patternFill>
    </fill>
    <fill>
      <patternFill patternType="solid">
        <fgColor rgb="FFEFEFEF"/>
        <bgColor rgb="FFEFEFEF"/>
      </patternFill>
    </fill>
  </fills>
  <borders count="22">
    <border>
      <left style="none"/>
      <right style="none"/>
      <top style="none"/>
      <bottom style="none"/>
      <diagonal style="none"/>
    </border>
    <border>
      <left style="thin">
        <color rgb="FF9A9A9A"/>
      </left>
      <right style="none"/>
      <top style="thin">
        <color rgb="FF9A9A9A"/>
      </top>
      <bottom style="thin">
        <color indexed="64"/>
      </bottom>
      <diagonal style="none"/>
    </border>
    <border>
      <left style="none"/>
      <right style="none"/>
      <top style="thin">
        <color rgb="FF9A9A9A"/>
      </top>
      <bottom style="thin">
        <color indexed="64"/>
      </bottom>
      <diagonal style="none"/>
    </border>
    <border>
      <left style="none"/>
      <right style="thin">
        <color rgb="FF9A9A9A"/>
      </right>
      <top style="thin">
        <color rgb="FF9A9A9A"/>
      </top>
      <bottom style="thin">
        <color indexed="64"/>
      </bottom>
      <diagonal style="none"/>
    </border>
    <border>
      <left style="thin">
        <color rgb="FF9A9A9A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rgb="FF9A9A9A"/>
      </right>
      <top style="thin">
        <color indexed="64"/>
      </top>
      <bottom style="thin">
        <color indexed="64"/>
      </bottom>
      <diagonal style="none"/>
    </border>
    <border>
      <left style="thin">
        <color rgb="FF9A9A9A"/>
      </left>
      <right style="none"/>
      <top style="thin">
        <color indexed="64"/>
      </top>
      <bottom style="thin">
        <color rgb="FFC9C9C9"/>
      </bottom>
      <diagonal style="none"/>
    </border>
    <border>
      <left style="none"/>
      <right style="none"/>
      <top style="thin">
        <color indexed="64"/>
      </top>
      <bottom style="thin">
        <color rgb="FFC9C9C9"/>
      </bottom>
      <diagonal style="none"/>
    </border>
    <border>
      <left style="none"/>
      <right style="thin">
        <color rgb="FF9A9A9A"/>
      </right>
      <top style="thin">
        <color indexed="64"/>
      </top>
      <bottom style="thin">
        <color rgb="FFC9C9C9"/>
      </bottom>
      <diagonal style="none"/>
    </border>
    <border>
      <left style="thin">
        <color rgb="FF9A9A9A"/>
      </left>
      <right style="thin">
        <color indexed="64"/>
      </right>
      <top style="thin">
        <color rgb="FFC9C9C9"/>
      </top>
      <bottom style="thin">
        <color rgb="FFC9C9C9"/>
      </bottom>
      <diagonal style="none"/>
    </border>
    <border>
      <left style="thin">
        <color indexed="64"/>
      </left>
      <right style="thin">
        <color indexed="64"/>
      </right>
      <top style="thin">
        <color rgb="FFC9C9C9"/>
      </top>
      <bottom style="thin">
        <color rgb="FFC9C9C9"/>
      </bottom>
      <diagonal style="none"/>
    </border>
    <border>
      <left style="thin">
        <color indexed="64"/>
      </left>
      <right style="thin">
        <color rgb="FF9A9A9A"/>
      </right>
      <top style="thin">
        <color rgb="FFC9C9C9"/>
      </top>
      <bottom style="thin">
        <color rgb="FFC9C9C9"/>
      </bottom>
      <diagonal style="none"/>
    </border>
    <border>
      <left style="thin">
        <color rgb="FF9A9A9A"/>
      </left>
      <right style="thin">
        <color rgb="FF9A9A9A"/>
      </right>
      <top style="thin">
        <color rgb="FFC9C9C9"/>
      </top>
      <bottom style="thin">
        <color rgb="FF9A9A9A"/>
      </bottom>
      <diagonal style="none"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 style="none"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242424"/>
      </bottom>
      <diagonal style="none"/>
    </border>
    <border>
      <left style="thin">
        <color rgb="FF9A9A9A"/>
      </left>
      <right style="thin">
        <color rgb="FF9A9A9A"/>
      </right>
      <top style="thin">
        <color rgb="FF242424"/>
      </top>
      <bottom style="thin">
        <color rgb="FF9A9A9A"/>
      </bottom>
      <diagonal style="none"/>
    </border>
    <border>
      <left style="thin">
        <color rgb="FF9A9A9A"/>
      </left>
      <right style="thin">
        <color rgb="FF9A9A9A"/>
      </right>
      <top style="none"/>
      <bottom style="thin">
        <color rgb="FF9A9A9A"/>
      </bottom>
      <diagonal style="none"/>
    </border>
    <border>
      <left style="thin">
        <color rgb="FF9A9A9A"/>
      </left>
      <right style="thin">
        <color rgb="FF9A9A9A"/>
      </right>
      <top style="thin">
        <color rgb="FF242424"/>
      </top>
      <bottom style="thin">
        <color rgb="FF242424"/>
      </bottom>
      <diagonal style="none"/>
    </border>
    <border>
      <left style="thin">
        <color rgb="FF9A9A9A"/>
      </left>
      <right style="thin">
        <color rgb="FF9A9A9A"/>
      </right>
      <top style="thin">
        <color rgb="FF9A9A9A"/>
      </top>
      <bottom style="none"/>
      <diagonal style="none"/>
    </border>
    <border>
      <left style="thin">
        <color rgb="FF9A9A9A"/>
      </left>
      <right style="thin">
        <color rgb="FF9A9A9A"/>
      </right>
      <top style="thin">
        <color rgb="FF9A9A9A"/>
      </top>
      <bottom style="medium">
        <color rgb="FF242424"/>
      </bottom>
      <diagonal style="none"/>
    </border>
    <border>
      <left style="thin">
        <color rgb="FF9A9A9A"/>
      </left>
      <right style="thin">
        <color rgb="FF9A9A9A"/>
      </right>
      <top style="medium">
        <color rgb="FF242424"/>
      </top>
      <bottom style="thin">
        <color rgb="FF9A9A9A"/>
      </bottom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left" wrapText="1"/>
    </xf>
    <xf fontId="1" fillId="2" borderId="2" numFmtId="0" xfId="0" applyFont="1" applyFill="1" applyBorder="1" applyAlignment="1" quotePrefix="0" pivotButton="0">
      <alignment horizontal="left" wrapText="1"/>
    </xf>
    <xf fontId="1" fillId="2" borderId="3" numFmtId="0" xfId="0" applyFont="1" applyFill="1" applyBorder="1" applyAlignment="1" quotePrefix="0" pivotButton="0">
      <alignment horizontal="left" wrapText="1"/>
    </xf>
    <xf fontId="2" fillId="2" borderId="4" numFmtId="0" xfId="0" applyFont="1" applyFill="1" applyBorder="1" applyAlignment="1" quotePrefix="0" pivotButton="0">
      <alignment horizontal="left" vertical="top" wrapText="1"/>
    </xf>
    <xf fontId="2" fillId="2" borderId="5" numFmtId="0" xfId="0" applyFont="1" applyFill="1" applyBorder="1" applyAlignment="1" quotePrefix="0" pivotButton="0">
      <alignment horizontal="left" vertical="top" wrapText="1"/>
    </xf>
    <xf fontId="2" fillId="2" borderId="6" numFmtId="0" xfId="0" applyFont="1" applyFill="1" applyBorder="1" applyAlignment="1" quotePrefix="0" pivotButton="0">
      <alignment horizontal="left" vertical="top" wrapText="1"/>
    </xf>
    <xf fontId="0" fillId="2" borderId="4" numFmtId="0" xfId="0" applyFill="1" applyBorder="1" applyAlignment="1" quotePrefix="0" pivotButton="0">
      <alignment horizontal="left" vertical="top" wrapText="1"/>
    </xf>
    <xf fontId="0" fillId="2" borderId="5" numFmtId="0" xfId="0" applyFill="1" applyBorder="1" applyAlignment="1" quotePrefix="0" pivotButton="0">
      <alignment horizontal="left" vertical="top" wrapText="1"/>
    </xf>
    <xf fontId="0" fillId="2" borderId="6" numFmtId="0" xfId="0" applyFill="1" applyBorder="1" applyAlignment="1" quotePrefix="0" pivotButton="0">
      <alignment horizontal="left" vertical="top" wrapText="1"/>
    </xf>
    <xf fontId="3" fillId="2" borderId="4" numFmtId="0" xfId="0" applyFont="1" applyFill="1" applyBorder="1" applyAlignment="1" quotePrefix="0" pivotButton="0">
      <alignment horizontal="left" vertical="top" wrapText="1"/>
    </xf>
    <xf fontId="3" fillId="2" borderId="5" numFmtId="0" xfId="0" applyFont="1" applyFill="1" applyBorder="1" applyAlignment="1" quotePrefix="0" pivotButton="0">
      <alignment horizontal="left" vertical="top" wrapText="1"/>
    </xf>
    <xf fontId="3" fillId="2" borderId="6" numFmtId="0" xfId="0" applyFont="1" applyFill="1" applyBorder="1" applyAlignment="1" quotePrefix="0" pivotButton="0">
      <alignment horizontal="left" vertical="top" wrapText="1"/>
    </xf>
    <xf fontId="4" fillId="2" borderId="4" numFmtId="0" xfId="0" applyFont="1" applyFill="1" applyBorder="1" applyAlignment="1" quotePrefix="0" pivotButton="0">
      <alignment horizontal="left" vertical="top" wrapText="1"/>
    </xf>
    <xf fontId="4" fillId="2" borderId="5" numFmtId="0" xfId="0" applyFont="1" applyFill="1" applyBorder="1" applyAlignment="1" quotePrefix="0" pivotButton="0">
      <alignment horizontal="left" vertical="top" wrapText="1"/>
    </xf>
    <xf fontId="4" fillId="2" borderId="6" numFmtId="0" xfId="0" applyFont="1" applyFill="1" applyBorder="1" applyAlignment="1" quotePrefix="0" pivotButton="0">
      <alignment horizontal="left" vertical="top" wrapText="1"/>
    </xf>
    <xf fontId="5" fillId="0" borderId="0" numFmtId="0" xfId="0" applyFont="1" applyAlignment="1" quotePrefix="0" pivotButton="0">
      <alignment horizontal="center"/>
    </xf>
    <xf fontId="4" fillId="2" borderId="4" numFmtId="3" xfId="0" applyNumberFormat="1" applyFont="1" applyFill="1" applyBorder="1" applyAlignment="1" quotePrefix="0" pivotButton="0">
      <alignment horizontal="left" vertical="top" wrapText="1"/>
    </xf>
    <xf fontId="4" fillId="2" borderId="5" numFmtId="3" xfId="0" applyNumberFormat="1" applyFont="1" applyFill="1" applyBorder="1" applyAlignment="1" quotePrefix="0" pivotButton="0">
      <alignment horizontal="left" vertical="top" wrapText="1"/>
    </xf>
    <xf fontId="4" fillId="2" borderId="6" numFmtId="3" xfId="0" applyNumberFormat="1" applyFont="1" applyFill="1" applyBorder="1" applyAlignment="1" quotePrefix="0" pivotButton="0">
      <alignment horizontal="left" vertical="top" wrapText="1"/>
    </xf>
    <xf fontId="6" fillId="0" borderId="0" numFmtId="3" xfId="0" applyNumberFormat="1" applyFont="1" quotePrefix="0" pivotButton="0"/>
    <xf fontId="0" fillId="2" borderId="7" numFmtId="3" xfId="0" applyNumberFormat="1" applyFill="1" applyBorder="1" applyAlignment="1" quotePrefix="0" pivotButton="0">
      <alignment horizontal="left" vertical="top" wrapText="1"/>
    </xf>
    <xf fontId="0" fillId="2" borderId="8" numFmtId="3" xfId="0" applyNumberFormat="1" applyFill="1" applyBorder="1" applyAlignment="1" quotePrefix="0" pivotButton="0">
      <alignment horizontal="left" vertical="top" wrapText="1"/>
    </xf>
    <xf fontId="0" fillId="2" borderId="9" numFmtId="3" xfId="0" applyNumberFormat="1" applyFill="1" applyBorder="1" applyAlignment="1" quotePrefix="0" pivotButton="0">
      <alignment horizontal="left" vertical="top" wrapText="1"/>
    </xf>
    <xf fontId="7" fillId="3" borderId="10" numFmtId="0" xfId="0" applyFont="1" applyFill="1" applyBorder="1" applyAlignment="1" quotePrefix="0" pivotButton="0">
      <alignment horizontal="left" wrapText="1"/>
    </xf>
    <xf fontId="7" fillId="3" borderId="11" numFmtId="17" xfId="0" applyNumberFormat="1" applyFont="1" applyFill="1" applyBorder="1" applyAlignment="1" quotePrefix="0" pivotButton="0">
      <alignment horizontal="left" wrapText="1"/>
    </xf>
    <xf fontId="7" fillId="3" borderId="12" numFmtId="3" xfId="0" applyNumberFormat="1" applyFont="1" applyFill="1" applyBorder="1" applyAlignment="1" quotePrefix="0" pivotButton="0">
      <alignment horizontal="left" wrapText="1"/>
    </xf>
    <xf fontId="8" fillId="0" borderId="0" numFmtId="3" xfId="0" applyNumberFormat="1" applyFont="1" quotePrefix="0" pivotButton="0"/>
    <xf fontId="9" fillId="0" borderId="13" numFmtId="0" xfId="0" applyFont="1" applyBorder="1" applyAlignment="1" quotePrefix="0" pivotButton="0">
      <alignment horizontal="left" wrapText="1"/>
    </xf>
    <xf fontId="0" fillId="0" borderId="13" numFmtId="0" xfId="0" applyBorder="1" applyAlignment="1" quotePrefix="0" pivotButton="0">
      <alignment horizontal="left" wrapText="1"/>
    </xf>
    <xf fontId="0" fillId="0" borderId="13" numFmtId="3" xfId="0" applyNumberFormat="1" applyBorder="1" applyAlignment="1" quotePrefix="0" pivotButton="0">
      <alignment horizontal="left" wrapText="1"/>
    </xf>
    <xf fontId="9" fillId="0" borderId="14" numFmtId="0" xfId="0" applyFont="1" applyBorder="1" applyAlignment="1" quotePrefix="0" pivotButton="0">
      <alignment horizontal="left" wrapText="1"/>
    </xf>
    <xf fontId="0" fillId="0" borderId="14" numFmtId="0" xfId="0" applyBorder="1" applyAlignment="1" quotePrefix="0" pivotButton="0">
      <alignment horizontal="left" wrapText="1"/>
    </xf>
    <xf fontId="0" fillId="0" borderId="14" numFmtId="3" xfId="0" applyNumberFormat="1" applyBorder="1" applyAlignment="1" quotePrefix="0" pivotButton="0">
      <alignment horizontal="left" wrapText="1"/>
    </xf>
    <xf fontId="10" fillId="0" borderId="14" numFmtId="0" xfId="0" applyFont="1" applyBorder="1" applyAlignment="1" quotePrefix="0" pivotButton="0">
      <alignment horizontal="left" wrapText="1"/>
    </xf>
    <xf fontId="10" fillId="0" borderId="14" numFmtId="4" xfId="0" applyNumberFormat="1" applyFont="1" applyBorder="1" applyAlignment="1" quotePrefix="0" pivotButton="0">
      <alignment horizontal="left" wrapText="1"/>
    </xf>
    <xf fontId="10" fillId="0" borderId="14" numFmtId="3" xfId="0" applyNumberFormat="1" applyFont="1" applyBorder="1" applyAlignment="1" quotePrefix="0" pivotButton="0">
      <alignment horizontal="left" wrapText="1"/>
    </xf>
    <xf fontId="10" fillId="0" borderId="15" numFmtId="3" xfId="0" applyNumberFormat="1" applyFont="1" applyBorder="1" applyAlignment="1" quotePrefix="0" pivotButton="0">
      <alignment horizontal="left" wrapText="1"/>
    </xf>
    <xf fontId="10" fillId="0" borderId="15" numFmtId="4" xfId="0" applyNumberFormat="1" applyFont="1" applyBorder="1" applyAlignment="1" quotePrefix="0" pivotButton="0">
      <alignment horizontal="left" wrapText="1"/>
    </xf>
    <xf fontId="9" fillId="0" borderId="16" numFmtId="4" xfId="0" applyNumberFormat="1" applyFont="1" applyBorder="1" applyAlignment="1" quotePrefix="0" pivotButton="0">
      <alignment horizontal="left" wrapText="1"/>
    </xf>
    <xf fontId="10" fillId="0" borderId="15" numFmtId="0" xfId="0" applyFont="1" applyBorder="1" applyAlignment="1" quotePrefix="0" pivotButton="0">
      <alignment horizontal="left" wrapText="1"/>
    </xf>
    <xf fontId="10" fillId="0" borderId="17" numFmtId="4" xfId="0" applyNumberFormat="1" applyFont="1" applyBorder="1" applyAlignment="1" quotePrefix="0" pivotButton="0">
      <alignment horizontal="left" wrapText="1"/>
    </xf>
    <xf fontId="9" fillId="0" borderId="16" numFmtId="0" xfId="0" applyFont="1" applyBorder="1" applyAlignment="1" quotePrefix="0" pivotButton="0">
      <alignment horizontal="left" wrapText="1"/>
    </xf>
    <xf fontId="9" fillId="0" borderId="18" numFmtId="4" xfId="0" applyNumberFormat="1" applyFont="1" applyBorder="1" applyAlignment="1" quotePrefix="0" pivotButton="0">
      <alignment horizontal="left" wrapText="1"/>
    </xf>
    <xf fontId="9" fillId="0" borderId="14" numFmtId="4" xfId="0" applyNumberFormat="1" applyFont="1" applyBorder="1" applyAlignment="1" quotePrefix="0" pivotButton="0">
      <alignment horizontal="left" wrapText="1"/>
    </xf>
    <xf fontId="9" fillId="0" borderId="16" numFmtId="3" xfId="0" applyNumberFormat="1" applyFont="1" applyBorder="1" applyAlignment="1" quotePrefix="0" pivotButton="0">
      <alignment horizontal="left" wrapText="1"/>
    </xf>
    <xf fontId="0" fillId="0" borderId="15" numFmtId="0" xfId="0" applyBorder="1" applyAlignment="1" quotePrefix="0" pivotButton="0">
      <alignment horizontal="left" wrapText="1"/>
    </xf>
    <xf fontId="0" fillId="0" borderId="19" numFmtId="0" xfId="0" applyBorder="1" applyAlignment="1" quotePrefix="0" pivotButton="0">
      <alignment horizontal="left" wrapText="1"/>
    </xf>
    <xf fontId="0" fillId="0" borderId="20" numFmtId="0" xfId="0" applyBorder="1" applyAlignment="1" quotePrefix="0" pivotButton="0">
      <alignment horizontal="left" wrapText="1"/>
    </xf>
    <xf fontId="9" fillId="0" borderId="21" numFmtId="4" xfId="0" applyNumberFormat="1" applyFont="1" applyBorder="1" applyAlignment="1" quotePrefix="0" pivotButton="0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" zoomScale="100" workbookViewId="0">
      <selection activeCell="B2" activeCellId="0" sqref="A2:N2"/>
    </sheetView>
  </sheetViews>
  <sheetFormatPr baseColWidth="8" defaultRowHeight="13.880000000000001"/>
  <cols>
    <col customWidth="1" min="1" max="1" width="37.8515625"/>
    <col customWidth="1" min="2" max="2" width="30"/>
    <col customWidth="1" min="3" max="15" width="12"/>
  </cols>
  <sheetData>
    <row r="1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8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13.8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13.85">
      <c r="A4" s="10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ht="13.8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</row>
    <row r="6" s="0" customFormat="1" ht="13.85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6" t="s">
        <v>3</v>
      </c>
    </row>
    <row r="7" ht="13.85">
      <c r="A7" s="17" t="s">
        <v>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9"/>
      <c r="O7" s="20"/>
    </row>
    <row r="8" ht="13.85">
      <c r="A8" s="17" t="s">
        <v>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9"/>
      <c r="O8" s="20"/>
    </row>
    <row r="9" ht="13.85">
      <c r="A9" s="17" t="s">
        <v>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9"/>
      <c r="O9" s="20"/>
    </row>
    <row r="10" ht="13.8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9"/>
      <c r="O10" s="20"/>
    </row>
    <row r="11" ht="13.8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/>
      <c r="O11" s="20"/>
    </row>
    <row r="12" ht="13.85">
      <c r="A12" s="24" t="s">
        <v>7</v>
      </c>
      <c r="B12" s="25">
        <v>45597</v>
      </c>
      <c r="C12" s="25">
        <v>45627</v>
      </c>
      <c r="D12" s="25">
        <v>45658</v>
      </c>
      <c r="E12" s="25">
        <v>45689</v>
      </c>
      <c r="F12" s="25">
        <v>45717</v>
      </c>
      <c r="G12" s="25">
        <v>45748</v>
      </c>
      <c r="H12" s="25">
        <v>45778</v>
      </c>
      <c r="I12" s="25">
        <v>45809</v>
      </c>
      <c r="J12" s="25">
        <v>45839</v>
      </c>
      <c r="K12" s="25">
        <v>45870</v>
      </c>
      <c r="L12" s="25">
        <v>45901</v>
      </c>
      <c r="M12" s="25">
        <v>45931</v>
      </c>
      <c r="N12" s="26" t="s">
        <v>8</v>
      </c>
      <c r="O12" s="27"/>
    </row>
    <row r="13" ht="13.85">
      <c r="A13" s="28" t="s">
        <v>9</v>
      </c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20"/>
    </row>
    <row r="14" ht="13.85">
      <c r="A14" s="31" t="s">
        <v>10</v>
      </c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20"/>
    </row>
    <row r="15" ht="13.85">
      <c r="A15" s="31" t="s">
        <v>11</v>
      </c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20"/>
    </row>
    <row r="16" ht="13.85">
      <c r="A16" s="34" t="s">
        <v>12</v>
      </c>
      <c r="B16" s="35">
        <v>239583.42999999999</v>
      </c>
      <c r="C16" s="35">
        <v>229016.23999999999</v>
      </c>
      <c r="D16" s="35">
        <v>233794.03</v>
      </c>
      <c r="E16" s="35">
        <v>235958.07999999999</v>
      </c>
      <c r="F16" s="35">
        <v>241656.89999999999</v>
      </c>
      <c r="G16" s="36">
        <v>245948</v>
      </c>
      <c r="H16" s="35">
        <v>255426.20999999999</v>
      </c>
      <c r="I16" s="35">
        <v>274245.16999999998</v>
      </c>
      <c r="J16" s="35">
        <v>263473.28000000003</v>
      </c>
      <c r="K16" s="35">
        <v>269935.09999999998</v>
      </c>
      <c r="L16" s="35">
        <v>273087.41999999998</v>
      </c>
      <c r="M16" s="35">
        <v>268153.96000000002</v>
      </c>
      <c r="N16" s="35">
        <f>SUM(B16:M16)</f>
        <v>3030277.8199999998</v>
      </c>
      <c r="O16" s="20"/>
    </row>
    <row r="17" ht="13.85">
      <c r="A17" s="34" t="s">
        <v>13</v>
      </c>
      <c r="B17" s="34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55</v>
      </c>
      <c r="J17" s="36">
        <v>40</v>
      </c>
      <c r="K17" s="36">
        <v>55</v>
      </c>
      <c r="L17" s="36">
        <v>55</v>
      </c>
      <c r="M17" s="36">
        <v>1200</v>
      </c>
      <c r="N17" s="35">
        <f>SUM(B17:M17)</f>
        <v>1405</v>
      </c>
      <c r="O17" s="20"/>
    </row>
    <row r="18" ht="13.85">
      <c r="A18" s="34" t="s">
        <v>14</v>
      </c>
      <c r="B18" s="34">
        <v>450</v>
      </c>
      <c r="C18" s="36">
        <v>135</v>
      </c>
      <c r="D18" s="36">
        <v>405</v>
      </c>
      <c r="E18" s="36">
        <v>180</v>
      </c>
      <c r="F18" s="36">
        <v>225</v>
      </c>
      <c r="G18" s="36">
        <v>990</v>
      </c>
      <c r="H18" s="36">
        <v>1350</v>
      </c>
      <c r="I18" s="36">
        <v>630</v>
      </c>
      <c r="J18" s="36">
        <v>900</v>
      </c>
      <c r="K18" s="36">
        <v>630</v>
      </c>
      <c r="L18" s="36">
        <v>360</v>
      </c>
      <c r="M18" s="36">
        <v>450</v>
      </c>
      <c r="N18" s="35">
        <f>SUM(B18:M18)</f>
        <v>6705</v>
      </c>
      <c r="O18" s="20"/>
    </row>
    <row r="19" ht="13.85">
      <c r="A19" s="34" t="s">
        <v>15</v>
      </c>
      <c r="B19" s="34">
        <v>45</v>
      </c>
      <c r="C19" s="36">
        <v>42</v>
      </c>
      <c r="D19" s="36">
        <v>60</v>
      </c>
      <c r="E19" s="36">
        <v>66</v>
      </c>
      <c r="F19" s="36">
        <v>60</v>
      </c>
      <c r="G19" s="36">
        <v>60</v>
      </c>
      <c r="H19" s="36">
        <v>66</v>
      </c>
      <c r="I19" s="36">
        <v>102</v>
      </c>
      <c r="J19" s="36">
        <v>90</v>
      </c>
      <c r="K19" s="36">
        <v>99</v>
      </c>
      <c r="L19" s="36">
        <v>129</v>
      </c>
      <c r="M19" s="36">
        <v>123</v>
      </c>
      <c r="N19" s="35">
        <f>SUM(B19:M19)</f>
        <v>942</v>
      </c>
      <c r="O19" s="20"/>
    </row>
    <row r="20" ht="13.85">
      <c r="A20" s="34" t="s">
        <v>16</v>
      </c>
      <c r="B20" s="34">
        <v>0</v>
      </c>
      <c r="C20" s="36">
        <v>760</v>
      </c>
      <c r="D20" s="36">
        <v>715</v>
      </c>
      <c r="E20" s="36">
        <v>625</v>
      </c>
      <c r="F20" s="36">
        <v>835</v>
      </c>
      <c r="G20" s="36">
        <v>535</v>
      </c>
      <c r="H20" s="36">
        <v>833.23000000000002</v>
      </c>
      <c r="I20" s="36">
        <v>1609</v>
      </c>
      <c r="J20" s="36">
        <v>752.29999999999995</v>
      </c>
      <c r="K20" s="36">
        <v>764</v>
      </c>
      <c r="L20" s="36">
        <v>720</v>
      </c>
      <c r="M20" s="36">
        <v>675</v>
      </c>
      <c r="N20" s="35">
        <f>SUM(B20:M20)</f>
        <v>8823.5299999999988</v>
      </c>
      <c r="O20" s="20"/>
    </row>
    <row r="21" ht="13.85">
      <c r="A21" s="34" t="s">
        <v>17</v>
      </c>
      <c r="B21" s="34">
        <v>270</v>
      </c>
      <c r="C21" s="36">
        <v>270</v>
      </c>
      <c r="D21" s="36">
        <v>270</v>
      </c>
      <c r="E21" s="36">
        <v>270</v>
      </c>
      <c r="F21" s="36">
        <v>270</v>
      </c>
      <c r="G21" s="36">
        <v>320</v>
      </c>
      <c r="H21" s="36">
        <v>370</v>
      </c>
      <c r="I21" s="36">
        <v>370</v>
      </c>
      <c r="J21" s="36">
        <v>270</v>
      </c>
      <c r="K21" s="36">
        <v>270</v>
      </c>
      <c r="L21" s="36">
        <v>343</v>
      </c>
      <c r="M21" s="36">
        <v>370</v>
      </c>
      <c r="N21" s="35">
        <f>SUM(B21:M21)</f>
        <v>3663</v>
      </c>
      <c r="O21" s="20"/>
    </row>
    <row r="22" ht="13.85">
      <c r="A22" s="34" t="s">
        <v>18</v>
      </c>
      <c r="B22" s="34">
        <v>0</v>
      </c>
      <c r="C22" s="35">
        <v>6524.5500000000002</v>
      </c>
      <c r="D22" s="36">
        <v>0</v>
      </c>
      <c r="E22" s="36">
        <v>0</v>
      </c>
      <c r="F22" s="36">
        <v>0</v>
      </c>
      <c r="G22" s="36">
        <v>8403</v>
      </c>
      <c r="H22" s="36">
        <v>500</v>
      </c>
      <c r="I22" s="35">
        <v>3445.2199999999998</v>
      </c>
      <c r="J22" s="36">
        <v>3456</v>
      </c>
      <c r="K22" s="36">
        <v>0</v>
      </c>
      <c r="L22" s="36">
        <v>0</v>
      </c>
      <c r="M22" s="36">
        <v>6267</v>
      </c>
      <c r="N22" s="35">
        <f>SUM(B22:M22)</f>
        <v>28595.77</v>
      </c>
      <c r="O22" s="20"/>
    </row>
    <row r="23" ht="13.85">
      <c r="A23" s="34" t="s">
        <v>19</v>
      </c>
      <c r="B23" s="34">
        <v>404.02999999999997</v>
      </c>
      <c r="C23" s="36">
        <v>225</v>
      </c>
      <c r="D23" s="36">
        <v>450</v>
      </c>
      <c r="E23" s="36">
        <v>516.97000000000003</v>
      </c>
      <c r="F23" s="36">
        <v>356.25</v>
      </c>
      <c r="G23" s="36">
        <v>931.37</v>
      </c>
      <c r="H23" s="36">
        <v>1020</v>
      </c>
      <c r="I23" s="36">
        <v>1025</v>
      </c>
      <c r="J23" s="36">
        <v>766</v>
      </c>
      <c r="K23" s="36">
        <v>894</v>
      </c>
      <c r="L23" s="36">
        <v>706</v>
      </c>
      <c r="M23" s="36">
        <v>919</v>
      </c>
      <c r="N23" s="35">
        <f>SUM(B23:M23)</f>
        <v>8213.619999999999</v>
      </c>
      <c r="O23" s="27"/>
    </row>
    <row r="24" ht="13.85">
      <c r="A24" s="34" t="s">
        <v>20</v>
      </c>
      <c r="B24" s="34">
        <v>200</v>
      </c>
      <c r="C24" s="36">
        <v>122.55</v>
      </c>
      <c r="D24" s="36">
        <v>800</v>
      </c>
      <c r="E24" s="36">
        <v>200</v>
      </c>
      <c r="F24" s="36">
        <v>200</v>
      </c>
      <c r="G24" s="36">
        <v>200</v>
      </c>
      <c r="H24" s="36">
        <v>200</v>
      </c>
      <c r="I24" s="36">
        <v>423</v>
      </c>
      <c r="J24" s="36">
        <v>435</v>
      </c>
      <c r="K24" s="36">
        <v>745</v>
      </c>
      <c r="L24" s="36">
        <v>900</v>
      </c>
      <c r="M24" s="36">
        <v>1044</v>
      </c>
      <c r="N24" s="35">
        <f>SUM(B24:M24)</f>
        <v>5469.5500000000002</v>
      </c>
      <c r="O24" s="27"/>
    </row>
    <row r="25" ht="13.85">
      <c r="A25" s="34" t="s">
        <v>21</v>
      </c>
      <c r="B25" s="37">
        <v>-3152</v>
      </c>
      <c r="C25" s="38">
        <v>-17131.25</v>
      </c>
      <c r="D25" s="37">
        <v>0</v>
      </c>
      <c r="E25" s="37">
        <v>0</v>
      </c>
      <c r="F25" s="37">
        <v>-7654</v>
      </c>
      <c r="G25" s="38">
        <v>-10837.75</v>
      </c>
      <c r="H25" s="38">
        <v>-8427.2900000000009</v>
      </c>
      <c r="I25" s="38">
        <v>-10431.74</v>
      </c>
      <c r="J25" s="38">
        <v>-10881.950000000001</v>
      </c>
      <c r="K25" s="38">
        <v>-7949.04</v>
      </c>
      <c r="L25" s="38">
        <v>-4092.0100000000002</v>
      </c>
      <c r="M25" s="38">
        <v>-4222.2200000000003</v>
      </c>
      <c r="N25" s="35">
        <f>SUM(B25:M25)</f>
        <v>-84779.249999999985</v>
      </c>
      <c r="O25" s="20"/>
    </row>
    <row r="26" ht="13.85">
      <c r="A26" s="31" t="s">
        <v>22</v>
      </c>
      <c r="B26" s="39">
        <f>SUM(B16:B25)</f>
        <v>237800.45999999999</v>
      </c>
      <c r="C26" s="39">
        <f>SUM(C16:C25)</f>
        <v>219964.08999999997</v>
      </c>
      <c r="D26" s="39">
        <f>SUM(D16:D25)</f>
        <v>236494.03</v>
      </c>
      <c r="E26" s="39">
        <f>SUM(E16:E25)</f>
        <v>237816.04999999999</v>
      </c>
      <c r="F26" s="39">
        <f>SUM(F16:F25)</f>
        <v>235949.14999999999</v>
      </c>
      <c r="G26" s="39">
        <f>SUM(G16:G25)</f>
        <v>246549.62</v>
      </c>
      <c r="H26" s="39">
        <f>SUM(H16:H25)</f>
        <v>251338.14999999999</v>
      </c>
      <c r="I26" s="39">
        <f>SUM(I16:I25)</f>
        <v>271472.64999999997</v>
      </c>
      <c r="J26" s="39">
        <f>SUM(J16:J25)</f>
        <v>259300.63</v>
      </c>
      <c r="K26" s="39">
        <f>SUM(K16:K25)</f>
        <v>265443.06</v>
      </c>
      <c r="L26" s="39">
        <f>SUM(L16:L25)</f>
        <v>272208.40999999997</v>
      </c>
      <c r="M26" s="39">
        <f>SUM(M16:M25)</f>
        <v>274979.74000000005</v>
      </c>
      <c r="N26" s="35">
        <f>SUM(B26:M26)</f>
        <v>3009316.04</v>
      </c>
      <c r="O26" s="39"/>
    </row>
    <row r="27" ht="13.85">
      <c r="A27" s="31" t="s">
        <v>23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ht="13.85">
      <c r="A28" s="34" t="s">
        <v>24</v>
      </c>
      <c r="B28" s="34">
        <v>199.30000000000001</v>
      </c>
      <c r="C28" s="34">
        <v>511.67000000000002</v>
      </c>
      <c r="D28" s="34">
        <v>110.31999999999999</v>
      </c>
      <c r="E28" s="34">
        <v>613.99000000000001</v>
      </c>
      <c r="F28" s="34">
        <v>173.75999999999999</v>
      </c>
      <c r="G28" s="34">
        <v>550.05999999999995</v>
      </c>
      <c r="H28" s="34">
        <v>613.79999999999995</v>
      </c>
      <c r="I28" s="35">
        <v>1378.46</v>
      </c>
      <c r="J28" s="35">
        <v>1190.22</v>
      </c>
      <c r="K28" s="34">
        <v>116.5</v>
      </c>
      <c r="L28" s="34">
        <v>474.44</v>
      </c>
      <c r="M28" s="34">
        <v>0</v>
      </c>
      <c r="N28" s="35">
        <f>SUM(B28:M28)</f>
        <v>5932.5199999999995</v>
      </c>
    </row>
    <row r="29" ht="13.85">
      <c r="A29" s="34" t="s">
        <v>25</v>
      </c>
      <c r="B29" s="34">
        <v>302.16000000000003</v>
      </c>
      <c r="C29" s="34">
        <v>310.36000000000001</v>
      </c>
      <c r="D29" s="34">
        <v>324.06</v>
      </c>
      <c r="E29" s="34">
        <v>417.08999999999997</v>
      </c>
      <c r="F29" s="34">
        <v>370.62</v>
      </c>
      <c r="G29" s="34">
        <v>377.98000000000002</v>
      </c>
      <c r="H29" s="34">
        <v>436.98000000000002</v>
      </c>
      <c r="I29" s="34">
        <v>421.29000000000002</v>
      </c>
      <c r="J29" s="34">
        <v>376.39999999999998</v>
      </c>
      <c r="K29" s="34">
        <v>676.54999999999995</v>
      </c>
      <c r="L29" s="34">
        <v>299.5</v>
      </c>
      <c r="M29" s="34">
        <v>170.09</v>
      </c>
      <c r="N29" s="35">
        <f>SUM(B29:M29)</f>
        <v>4483.0799999999999</v>
      </c>
    </row>
    <row r="30" ht="13.85">
      <c r="A30" s="34" t="s">
        <v>26</v>
      </c>
      <c r="B30" s="35">
        <v>2014.1700000000001</v>
      </c>
      <c r="C30" s="35">
        <v>1148.3800000000001</v>
      </c>
      <c r="D30" s="35">
        <v>1951.4300000000001</v>
      </c>
      <c r="E30" s="35">
        <v>2039.1500000000001</v>
      </c>
      <c r="F30" s="35">
        <v>1816.8399999999999</v>
      </c>
      <c r="G30" s="35">
        <v>1524.22</v>
      </c>
      <c r="H30" s="35">
        <v>1534.49</v>
      </c>
      <c r="I30" s="35">
        <v>3283.8899999999999</v>
      </c>
      <c r="J30" s="35">
        <v>4340.5600000000004</v>
      </c>
      <c r="K30" s="35">
        <v>3139.9699999999998</v>
      </c>
      <c r="L30" s="35">
        <v>6414.4099999999999</v>
      </c>
      <c r="M30" s="35">
        <v>3179.4899999999998</v>
      </c>
      <c r="N30" s="35">
        <f>SUM(B30:M30)</f>
        <v>32387</v>
      </c>
    </row>
    <row r="31" ht="13.85">
      <c r="A31" s="34" t="s">
        <v>27</v>
      </c>
      <c r="B31" s="34">
        <v>359.5</v>
      </c>
      <c r="C31" s="34">
        <v>331</v>
      </c>
      <c r="D31" s="34">
        <v>395</v>
      </c>
      <c r="E31" s="34">
        <v>-231.53</v>
      </c>
      <c r="F31" s="34">
        <v>134.5</v>
      </c>
      <c r="G31" s="34">
        <v>344.5</v>
      </c>
      <c r="H31" s="34">
        <v>365.5</v>
      </c>
      <c r="I31" s="34">
        <v>502</v>
      </c>
      <c r="J31" s="34">
        <v>440</v>
      </c>
      <c r="K31" s="34">
        <v>451.5</v>
      </c>
      <c r="L31" s="34">
        <v>525</v>
      </c>
      <c r="M31" s="34">
        <v>504</v>
      </c>
      <c r="N31" s="35">
        <f>SUM(B31:M31)</f>
        <v>4120.9700000000003</v>
      </c>
    </row>
    <row r="32" ht="13.85">
      <c r="A32" s="34" t="s">
        <v>28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596.91999999999996</v>
      </c>
      <c r="K32" s="34">
        <v>633.07000000000005</v>
      </c>
      <c r="L32" s="34">
        <v>638.69000000000005</v>
      </c>
      <c r="M32" s="34">
        <v>640.44000000000005</v>
      </c>
      <c r="N32" s="35">
        <f>SUM(B32:M32)</f>
        <v>2509.1199999999999</v>
      </c>
    </row>
    <row r="33" ht="21.75">
      <c r="A33" s="34" t="s">
        <v>29</v>
      </c>
      <c r="B33" s="40">
        <v>0</v>
      </c>
      <c r="C33" s="40">
        <v>0</v>
      </c>
      <c r="D33" s="40">
        <v>0</v>
      </c>
      <c r="E33" s="40">
        <v>0</v>
      </c>
      <c r="F33" s="40">
        <v>400</v>
      </c>
      <c r="G33" s="40">
        <v>0</v>
      </c>
      <c r="H33" s="40">
        <v>0</v>
      </c>
      <c r="I33" s="37">
        <v>3320</v>
      </c>
      <c r="J33" s="37">
        <v>4514</v>
      </c>
      <c r="K33" s="40">
        <v>0</v>
      </c>
      <c r="L33" s="37">
        <v>1200</v>
      </c>
      <c r="M33" s="40">
        <v>0</v>
      </c>
      <c r="N33" s="35">
        <f>SUM(B33:M33)</f>
        <v>9434</v>
      </c>
    </row>
    <row r="34" ht="13.85">
      <c r="A34" s="31" t="s">
        <v>30</v>
      </c>
      <c r="B34" s="39">
        <f>SUM(B28:B33)</f>
        <v>2875.1300000000001</v>
      </c>
      <c r="C34" s="39">
        <f>SUM(C28:C33)</f>
        <v>2301.4099999999999</v>
      </c>
      <c r="D34" s="39">
        <f>SUM(D28:D33)</f>
        <v>2780.8099999999999</v>
      </c>
      <c r="E34" s="39">
        <f>SUM(E28:E33)</f>
        <v>2838.6999999999998</v>
      </c>
      <c r="F34" s="39">
        <f>SUM(F28:F33)</f>
        <v>2895.7199999999998</v>
      </c>
      <c r="G34" s="39">
        <f>SUM(G28:G33)</f>
        <v>2796.7600000000002</v>
      </c>
      <c r="H34" s="39">
        <f>SUM(H28:H33)</f>
        <v>2950.77</v>
      </c>
      <c r="I34" s="39">
        <f>SUM(I28:I33)</f>
        <v>8905.6399999999994</v>
      </c>
      <c r="J34" s="39">
        <f>SUM(J28:J33)</f>
        <v>11458.1</v>
      </c>
      <c r="K34" s="39">
        <f>SUM(K28:K33)</f>
        <v>5017.5899999999992</v>
      </c>
      <c r="L34" s="39">
        <f>SUM(L28:L33)</f>
        <v>9552.0400000000009</v>
      </c>
      <c r="M34" s="39">
        <f>SUM(M28:M33)</f>
        <v>4494.0200000000004</v>
      </c>
      <c r="N34" s="41">
        <f>SUM(B34:M34)</f>
        <v>58866.690000000002</v>
      </c>
    </row>
    <row r="35" ht="13.85">
      <c r="A35" s="34" t="s">
        <v>31</v>
      </c>
      <c r="B35" s="35">
        <v>1349.49</v>
      </c>
      <c r="C35" s="35">
        <v>1536.1300000000001</v>
      </c>
      <c r="D35" s="35">
        <v>1391.5999999999999</v>
      </c>
      <c r="E35" s="34">
        <v>849.50999999999999</v>
      </c>
      <c r="F35" s="35">
        <v>1005.65</v>
      </c>
      <c r="G35" s="35">
        <v>1191.1099999999999</v>
      </c>
      <c r="H35" s="35">
        <v>1454.1700000000001</v>
      </c>
      <c r="I35" s="35">
        <v>2034.52</v>
      </c>
      <c r="J35" s="35">
        <v>1743.1800000000001</v>
      </c>
      <c r="K35" s="35">
        <v>1807.1900000000001</v>
      </c>
      <c r="L35" s="35">
        <v>4096.1800000000003</v>
      </c>
      <c r="M35" s="35">
        <v>3190.8000000000002</v>
      </c>
      <c r="N35" s="35">
        <f>SUM(B35:M35)</f>
        <v>21649.530000000002</v>
      </c>
    </row>
    <row r="36" ht="13.85">
      <c r="A36" s="34" t="s">
        <v>32</v>
      </c>
      <c r="B36" s="34">
        <v>592</v>
      </c>
      <c r="C36" s="34">
        <v>578.57000000000005</v>
      </c>
      <c r="D36" s="34">
        <v>522</v>
      </c>
      <c r="E36" s="34">
        <v>538</v>
      </c>
      <c r="F36" s="34">
        <v>458</v>
      </c>
      <c r="G36" s="34">
        <v>458</v>
      </c>
      <c r="H36" s="34">
        <v>626.60000000000002</v>
      </c>
      <c r="I36" s="34">
        <v>823.75</v>
      </c>
      <c r="J36" s="34">
        <v>682.23000000000002</v>
      </c>
      <c r="K36" s="36">
        <v>1158</v>
      </c>
      <c r="L36" s="34">
        <v>500</v>
      </c>
      <c r="M36" s="34">
        <v>700</v>
      </c>
      <c r="N36" s="35">
        <f>SUM(B36:M36)</f>
        <v>7637.1499999999996</v>
      </c>
    </row>
    <row r="37" ht="13.85">
      <c r="A37" s="34" t="s">
        <v>33</v>
      </c>
      <c r="B37" s="40">
        <v>150</v>
      </c>
      <c r="C37" s="40">
        <v>150</v>
      </c>
      <c r="D37" s="40">
        <v>50</v>
      </c>
      <c r="E37" s="40">
        <v>0</v>
      </c>
      <c r="F37" s="40">
        <v>50</v>
      </c>
      <c r="G37" s="40">
        <v>0</v>
      </c>
      <c r="H37" s="40">
        <v>100</v>
      </c>
      <c r="I37" s="40">
        <v>200</v>
      </c>
      <c r="J37" s="40">
        <v>100</v>
      </c>
      <c r="K37" s="40">
        <v>200</v>
      </c>
      <c r="L37" s="40">
        <v>350</v>
      </c>
      <c r="M37" s="40">
        <v>200</v>
      </c>
      <c r="N37" s="35">
        <f>SUM(B37:M37)</f>
        <v>1550</v>
      </c>
    </row>
    <row r="38" ht="13.85">
      <c r="A38" s="31" t="s">
        <v>34</v>
      </c>
      <c r="B38" s="39">
        <f>SUM(B34:B37,B26)</f>
        <v>242767.07999999999</v>
      </c>
      <c r="C38" s="39">
        <f>SUM(C34:C37,C26)</f>
        <v>224530.19999999995</v>
      </c>
      <c r="D38" s="39">
        <f>SUM(D34:D37,D26)</f>
        <v>241238.44</v>
      </c>
      <c r="E38" s="39">
        <f>SUM(E34:E37,E26)</f>
        <v>242042.25999999998</v>
      </c>
      <c r="F38" s="39">
        <f>SUM(F34:F37,F26)</f>
        <v>240358.51999999999</v>
      </c>
      <c r="G38" s="39">
        <f>SUM(G34:G37,G26)</f>
        <v>250995.48999999999</v>
      </c>
      <c r="H38" s="39">
        <f>SUM(H34:H37,H26)</f>
        <v>256469.69</v>
      </c>
      <c r="I38" s="39">
        <f>SUM(I34:I37,I26)</f>
        <v>283436.55999999994</v>
      </c>
      <c r="J38" s="39">
        <f>SUM(J34:J37,J26)</f>
        <v>273284.14000000001</v>
      </c>
      <c r="K38" s="39">
        <f>SUM(K34:K37,K26)</f>
        <v>273625.83999999997</v>
      </c>
      <c r="L38" s="39">
        <f>SUM(L34:L37,L26)</f>
        <v>286706.63</v>
      </c>
      <c r="M38" s="39">
        <f>SUM(M34:M37,M26)</f>
        <v>283564.56000000006</v>
      </c>
      <c r="N38" s="41">
        <f>SUM(B38:M38)</f>
        <v>3099019.4099999997</v>
      </c>
    </row>
    <row r="39" ht="13.85">
      <c r="A39" s="31" t="s">
        <v>35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ht="13.85">
      <c r="A40" s="34" t="s">
        <v>36</v>
      </c>
      <c r="B40" s="36">
        <v>2389</v>
      </c>
      <c r="C40" s="36">
        <v>1639</v>
      </c>
      <c r="D40" s="36">
        <v>3339</v>
      </c>
      <c r="E40" s="36">
        <v>4245</v>
      </c>
      <c r="F40" s="36">
        <v>3470</v>
      </c>
      <c r="G40" s="36">
        <v>3470</v>
      </c>
      <c r="H40" s="35">
        <v>3519.9299999999998</v>
      </c>
      <c r="I40" s="36">
        <v>3506</v>
      </c>
      <c r="J40" s="36">
        <v>3485</v>
      </c>
      <c r="K40" s="36">
        <v>4070</v>
      </c>
      <c r="L40" s="36">
        <v>3506</v>
      </c>
      <c r="M40" s="36">
        <v>3506</v>
      </c>
      <c r="N40" s="35">
        <f>SUM(B40:M40)</f>
        <v>40144.93</v>
      </c>
    </row>
    <row r="41" ht="13.85">
      <c r="A41" s="34" t="s">
        <v>37</v>
      </c>
      <c r="B41" s="34">
        <v>663.36000000000001</v>
      </c>
      <c r="C41" s="34">
        <v>610.66999999999996</v>
      </c>
      <c r="D41" s="34">
        <v>662.24000000000001</v>
      </c>
      <c r="E41" s="34">
        <v>545.5</v>
      </c>
      <c r="F41" s="34">
        <v>553.67999999999995</v>
      </c>
      <c r="G41" s="34">
        <v>529.85000000000002</v>
      </c>
      <c r="H41" s="35">
        <v>1398.6700000000001</v>
      </c>
      <c r="I41" s="34">
        <v>566.42999999999995</v>
      </c>
      <c r="J41" s="34">
        <v>645.76999999999998</v>
      </c>
      <c r="K41" s="34">
        <v>872.00999999999999</v>
      </c>
      <c r="L41" s="34">
        <v>707.39999999999998</v>
      </c>
      <c r="M41" s="34">
        <v>938.88</v>
      </c>
      <c r="N41" s="35">
        <f>SUM(B41:M41)</f>
        <v>8694.4599999999991</v>
      </c>
    </row>
    <row r="42" ht="13.85">
      <c r="A42" s="34" t="s">
        <v>38</v>
      </c>
      <c r="B42" s="34">
        <v>705</v>
      </c>
      <c r="C42" s="34">
        <v>680.5</v>
      </c>
      <c r="D42" s="34">
        <v>672</v>
      </c>
      <c r="E42" s="34">
        <v>684.5</v>
      </c>
      <c r="F42" s="34">
        <v>870</v>
      </c>
      <c r="G42" s="34">
        <v>797.5</v>
      </c>
      <c r="H42" s="36">
        <v>1140</v>
      </c>
      <c r="I42" s="35">
        <v>1348.5</v>
      </c>
      <c r="J42" s="36">
        <v>1218</v>
      </c>
      <c r="K42" s="35">
        <v>1277.5</v>
      </c>
      <c r="L42" s="36">
        <v>1135</v>
      </c>
      <c r="M42" s="36">
        <v>1065</v>
      </c>
      <c r="N42" s="35">
        <f>SUM(B42:M42)</f>
        <v>11593.5</v>
      </c>
    </row>
    <row r="43" ht="13.85">
      <c r="A43" s="34" t="s">
        <v>39</v>
      </c>
      <c r="B43" s="34">
        <v>0</v>
      </c>
      <c r="C43" s="34">
        <v>0</v>
      </c>
      <c r="D43" s="34">
        <v>0</v>
      </c>
      <c r="E43" s="34">
        <v>0</v>
      </c>
      <c r="F43" s="34">
        <v>0</v>
      </c>
      <c r="G43" s="34">
        <v>0</v>
      </c>
      <c r="H43" s="34">
        <v>944.85000000000002</v>
      </c>
      <c r="I43" s="34">
        <v>0</v>
      </c>
      <c r="J43" s="34">
        <v>0</v>
      </c>
      <c r="K43" s="34">
        <v>0</v>
      </c>
      <c r="L43" s="34">
        <v>600</v>
      </c>
      <c r="M43" s="34">
        <v>0</v>
      </c>
      <c r="N43" s="35">
        <f>SUM(B43:M43)</f>
        <v>1544.8499999999999</v>
      </c>
    </row>
    <row r="44" ht="13.85">
      <c r="A44" s="34" t="s">
        <v>40</v>
      </c>
      <c r="B44" s="34">
        <v>0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266.64999999999998</v>
      </c>
      <c r="I44" s="34">
        <v>0</v>
      </c>
      <c r="J44" s="34">
        <v>36</v>
      </c>
      <c r="K44" s="34">
        <v>36</v>
      </c>
      <c r="L44" s="34">
        <v>0</v>
      </c>
      <c r="M44" s="34">
        <v>0</v>
      </c>
      <c r="N44" s="35">
        <f>SUM(B44:M44)</f>
        <v>338.64999999999998</v>
      </c>
    </row>
    <row r="45" ht="13.85">
      <c r="A45" s="31" t="s">
        <v>41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ht="21.75">
      <c r="A46" s="34" t="s">
        <v>42</v>
      </c>
      <c r="B46" s="34">
        <v>0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1.25</v>
      </c>
      <c r="N46" s="35">
        <f>SUM(B46:M46)</f>
        <v>1.25</v>
      </c>
    </row>
    <row r="47" ht="13.85">
      <c r="A47" s="34" t="s">
        <v>43</v>
      </c>
      <c r="B47" s="34">
        <v>55.140000000000001</v>
      </c>
      <c r="C47" s="34">
        <v>42.140000000000001</v>
      </c>
      <c r="D47" s="34">
        <v>49.969999999999999</v>
      </c>
      <c r="E47" s="34">
        <v>115.11</v>
      </c>
      <c r="F47" s="34">
        <v>52.380000000000003</v>
      </c>
      <c r="G47" s="34">
        <v>118.81</v>
      </c>
      <c r="H47" s="34">
        <v>-15.539999999999999</v>
      </c>
      <c r="I47" s="34">
        <v>4.96</v>
      </c>
      <c r="J47" s="34">
        <v>121.76000000000001</v>
      </c>
      <c r="K47" s="34">
        <v>113.76000000000001</v>
      </c>
      <c r="L47" s="34">
        <v>92.739999999999995</v>
      </c>
      <c r="M47" s="34">
        <v>244.16</v>
      </c>
      <c r="N47" s="35">
        <f>SUM(B47:M47)</f>
        <v>995.38999999999999</v>
      </c>
    </row>
    <row r="48" ht="13.85">
      <c r="A48" s="34" t="s">
        <v>44</v>
      </c>
      <c r="B48" s="40">
        <v>0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11.51</v>
      </c>
      <c r="I48" s="40">
        <v>11.300000000000001</v>
      </c>
      <c r="J48" s="40">
        <v>28.289999999999999</v>
      </c>
      <c r="K48" s="40">
        <v>78.760000000000005</v>
      </c>
      <c r="L48" s="40">
        <v>83.340000000000003</v>
      </c>
      <c r="M48" s="40">
        <v>11.380000000000001</v>
      </c>
      <c r="N48" s="35">
        <f>SUM(B48:M48)</f>
        <v>224.58000000000001</v>
      </c>
    </row>
    <row r="49" ht="13.85">
      <c r="A49" s="31" t="s">
        <v>45</v>
      </c>
      <c r="B49" s="42">
        <v>55.140000000000001</v>
      </c>
      <c r="C49" s="42">
        <v>42.140000000000001</v>
      </c>
      <c r="D49" s="42">
        <v>49.969999999999999</v>
      </c>
      <c r="E49" s="42">
        <v>115.11</v>
      </c>
      <c r="F49" s="42">
        <v>52.380000000000003</v>
      </c>
      <c r="G49" s="42">
        <v>118.81</v>
      </c>
      <c r="H49" s="42">
        <v>-4.0300000000000002</v>
      </c>
      <c r="I49" s="42">
        <v>16.260000000000002</v>
      </c>
      <c r="J49" s="42">
        <v>150.05000000000001</v>
      </c>
      <c r="K49" s="42">
        <v>192.52000000000001</v>
      </c>
      <c r="L49" s="42">
        <v>176.08000000000001</v>
      </c>
      <c r="M49" s="42">
        <v>256.79000000000002</v>
      </c>
      <c r="N49" s="41">
        <f>SUM(B49:M49)</f>
        <v>1221.22</v>
      </c>
    </row>
    <row r="50" ht="13.85">
      <c r="A50" s="34" t="s">
        <v>46</v>
      </c>
      <c r="B50" s="34">
        <v>48.600000000000001</v>
      </c>
      <c r="C50" s="34">
        <v>0</v>
      </c>
      <c r="D50" s="34">
        <v>231.12</v>
      </c>
      <c r="E50" s="34">
        <v>0</v>
      </c>
      <c r="F50" s="34">
        <v>0</v>
      </c>
      <c r="G50" s="34">
        <v>0</v>
      </c>
      <c r="H50" s="34">
        <v>147.96000000000001</v>
      </c>
      <c r="I50" s="34">
        <v>29.25</v>
      </c>
      <c r="J50" s="34">
        <v>29.25</v>
      </c>
      <c r="K50" s="34">
        <v>0</v>
      </c>
      <c r="L50" s="34">
        <v>0</v>
      </c>
      <c r="M50" s="34">
        <v>0</v>
      </c>
      <c r="N50" s="35">
        <f>SUM(B50:M50)</f>
        <v>486.18000000000006</v>
      </c>
    </row>
    <row r="51" ht="13.85">
      <c r="A51" s="31" t="s">
        <v>47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ht="13.85">
      <c r="A52" s="34" t="s">
        <v>48</v>
      </c>
      <c r="B52" s="40">
        <v>0</v>
      </c>
      <c r="C52" s="38">
        <v>11380.860000000001</v>
      </c>
      <c r="D52" s="40">
        <v>1.71</v>
      </c>
      <c r="E52" s="40">
        <v>20</v>
      </c>
      <c r="F52" s="40">
        <v>0</v>
      </c>
      <c r="G52" s="38">
        <v>18380.599999999999</v>
      </c>
      <c r="H52" s="40">
        <v>0</v>
      </c>
      <c r="I52" s="38">
        <v>13639.799999999999</v>
      </c>
      <c r="J52" s="40">
        <v>0</v>
      </c>
      <c r="K52" s="40">
        <v>0</v>
      </c>
      <c r="L52" s="38">
        <v>13639.799999999999</v>
      </c>
      <c r="M52" s="40">
        <v>0</v>
      </c>
      <c r="N52" s="35">
        <f>SUM(B52:M52)</f>
        <v>57062.770000000004</v>
      </c>
    </row>
    <row r="53" ht="13.85">
      <c r="A53" s="31" t="s">
        <v>49</v>
      </c>
      <c r="B53" s="42">
        <v>0</v>
      </c>
      <c r="C53" s="39">
        <v>11380.860000000001</v>
      </c>
      <c r="D53" s="42">
        <v>1.71</v>
      </c>
      <c r="E53" s="42">
        <v>20</v>
      </c>
      <c r="F53" s="42">
        <v>0</v>
      </c>
      <c r="G53" s="39">
        <v>18380.599999999999</v>
      </c>
      <c r="H53" s="42">
        <v>0</v>
      </c>
      <c r="I53" s="39">
        <v>13639.799999999999</v>
      </c>
      <c r="J53" s="42">
        <v>0</v>
      </c>
      <c r="K53" s="42">
        <v>0</v>
      </c>
      <c r="L53" s="39">
        <v>13639.799999999999</v>
      </c>
      <c r="M53" s="42">
        <v>0</v>
      </c>
      <c r="N53" s="41">
        <f>SUM(B53:M53)</f>
        <v>57062.770000000004</v>
      </c>
    </row>
    <row r="54" ht="13.85">
      <c r="A54" s="31" t="s">
        <v>50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ht="13.85">
      <c r="A55" s="34" t="s">
        <v>51</v>
      </c>
      <c r="B55" s="35">
        <v>1428.8900000000001</v>
      </c>
      <c r="C55" s="35">
        <v>1265.21</v>
      </c>
      <c r="D55" s="35">
        <v>1399.1500000000001</v>
      </c>
      <c r="E55" s="35">
        <v>1157.6400000000001</v>
      </c>
      <c r="F55" s="35">
        <v>1754.8699999999999</v>
      </c>
      <c r="G55" s="35">
        <v>1282.7</v>
      </c>
      <c r="H55" s="35">
        <v>1333.24</v>
      </c>
      <c r="I55" s="35">
        <v>1282.02</v>
      </c>
      <c r="J55" s="34">
        <v>0</v>
      </c>
      <c r="K55" s="34">
        <v>0</v>
      </c>
      <c r="L55" s="34">
        <v>0</v>
      </c>
      <c r="M55" s="34">
        <v>0</v>
      </c>
      <c r="N55" s="35">
        <f>SUM(B55:M55)</f>
        <v>10903.720000000001</v>
      </c>
    </row>
    <row r="56" ht="13.85">
      <c r="A56" s="34" t="s">
        <v>52</v>
      </c>
      <c r="B56" s="35">
        <v>11364.290000000001</v>
      </c>
      <c r="C56" s="35">
        <v>8379.8199999999997</v>
      </c>
      <c r="D56" s="35">
        <v>10037.17</v>
      </c>
      <c r="E56" s="35">
        <v>9722.2099999999991</v>
      </c>
      <c r="F56" s="35">
        <v>9341.3199999999997</v>
      </c>
      <c r="G56" s="35">
        <v>9941.9599999999991</v>
      </c>
      <c r="H56" s="35">
        <v>11887.1</v>
      </c>
      <c r="I56" s="35">
        <v>9342.8199999999997</v>
      </c>
      <c r="J56" s="35">
        <v>7377.0100000000002</v>
      </c>
      <c r="K56" s="35">
        <v>11099.129999999999</v>
      </c>
      <c r="L56" s="35">
        <v>7932.0900000000001</v>
      </c>
      <c r="M56" s="35">
        <v>8876.2900000000009</v>
      </c>
      <c r="N56" s="35">
        <f>SUM(B56:M56)</f>
        <v>115301.20999999999</v>
      </c>
    </row>
    <row r="57" ht="13.85">
      <c r="A57" s="34" t="s">
        <v>53</v>
      </c>
      <c r="B57" s="38">
        <v>3764.8499999999999</v>
      </c>
      <c r="C57" s="38">
        <v>4408.0200000000004</v>
      </c>
      <c r="D57" s="38">
        <v>4830.4399999999996</v>
      </c>
      <c r="E57" s="38">
        <v>2320.4699999999998</v>
      </c>
      <c r="F57" s="38">
        <v>2835.75</v>
      </c>
      <c r="G57" s="38">
        <v>3101.27</v>
      </c>
      <c r="H57" s="38">
        <v>3587.0100000000002</v>
      </c>
      <c r="I57" s="38">
        <v>3736.3499999999999</v>
      </c>
      <c r="J57" s="38">
        <v>3511.1999999999998</v>
      </c>
      <c r="K57" s="38">
        <v>4418.0699999999997</v>
      </c>
      <c r="L57" s="38">
        <v>3685.0500000000002</v>
      </c>
      <c r="M57" s="38">
        <v>5824.8299999999999</v>
      </c>
      <c r="N57" s="35">
        <f>SUM(B57:M57)</f>
        <v>46023.309999999998</v>
      </c>
    </row>
    <row r="58" ht="21.75">
      <c r="A58" s="31" t="s">
        <v>54</v>
      </c>
      <c r="B58" s="39">
        <v>16558.029999999999</v>
      </c>
      <c r="C58" s="39">
        <v>14053.049999999999</v>
      </c>
      <c r="D58" s="39">
        <v>16266.76</v>
      </c>
      <c r="E58" s="39">
        <v>13200.32</v>
      </c>
      <c r="F58" s="39">
        <v>13931.940000000001</v>
      </c>
      <c r="G58" s="39">
        <v>14325.93</v>
      </c>
      <c r="H58" s="39">
        <v>16807.349999999999</v>
      </c>
      <c r="I58" s="39">
        <v>14361.190000000001</v>
      </c>
      <c r="J58" s="39">
        <v>10888.209999999999</v>
      </c>
      <c r="K58" s="39">
        <v>15517.200000000001</v>
      </c>
      <c r="L58" s="39">
        <v>11617.139999999999</v>
      </c>
      <c r="M58" s="39">
        <v>14701.120000000001</v>
      </c>
      <c r="N58" s="41">
        <f>SUM(B58:M58)</f>
        <v>172228.23999999999</v>
      </c>
    </row>
    <row r="59" ht="13.85">
      <c r="A59" s="34" t="s">
        <v>55</v>
      </c>
      <c r="B59" s="34">
        <v>0</v>
      </c>
      <c r="C59" s="34">
        <v>0</v>
      </c>
      <c r="D59" s="34">
        <v>0</v>
      </c>
      <c r="E59" s="34">
        <v>0</v>
      </c>
      <c r="F59" s="34">
        <v>55.939999999999998</v>
      </c>
      <c r="G59" s="34">
        <v>955.94000000000005</v>
      </c>
      <c r="H59" s="34">
        <v>55.939999999999998</v>
      </c>
      <c r="I59" s="34">
        <v>0</v>
      </c>
      <c r="J59" s="34">
        <v>0</v>
      </c>
      <c r="K59" s="34">
        <v>100</v>
      </c>
      <c r="L59" s="34">
        <v>0</v>
      </c>
      <c r="M59" s="34">
        <v>0</v>
      </c>
      <c r="N59" s="35">
        <f>SUM(B59:M59)</f>
        <v>1167.8200000000002</v>
      </c>
    </row>
    <row r="60" ht="13.85">
      <c r="A60" s="34" t="s">
        <v>56</v>
      </c>
      <c r="B60" s="35">
        <v>17601.990000000002</v>
      </c>
      <c r="C60" s="35">
        <v>20789.080000000002</v>
      </c>
      <c r="D60" s="35">
        <v>23560.16</v>
      </c>
      <c r="E60" s="35">
        <v>23367.009999999998</v>
      </c>
      <c r="F60" s="35">
        <v>19770.950000000001</v>
      </c>
      <c r="G60" s="35">
        <v>18997.240000000002</v>
      </c>
      <c r="H60" s="35">
        <v>20146.32</v>
      </c>
      <c r="I60" s="35">
        <v>12669.01</v>
      </c>
      <c r="J60" s="35">
        <v>10176.01</v>
      </c>
      <c r="K60" s="35">
        <v>7173.29</v>
      </c>
      <c r="L60" s="35">
        <v>2920.0700000000002</v>
      </c>
      <c r="M60" s="35">
        <v>5174.0100000000002</v>
      </c>
      <c r="N60" s="35">
        <f>SUM(B60:M60)</f>
        <v>182345.14000000004</v>
      </c>
    </row>
    <row r="61" ht="13.85">
      <c r="A61" s="34" t="s">
        <v>57</v>
      </c>
      <c r="B61" s="34">
        <v>0</v>
      </c>
      <c r="C61" s="34">
        <v>325</v>
      </c>
      <c r="D61" s="34">
        <v>0</v>
      </c>
      <c r="E61" s="34">
        <v>754.33000000000004</v>
      </c>
      <c r="F61" s="34">
        <v>427.69</v>
      </c>
      <c r="G61" s="34">
        <v>77.219999999999999</v>
      </c>
      <c r="H61" s="34">
        <v>910.87</v>
      </c>
      <c r="I61" s="35">
        <v>1556.6600000000001</v>
      </c>
      <c r="J61" s="34">
        <v>111.37</v>
      </c>
      <c r="K61" s="34">
        <v>839.26999999999998</v>
      </c>
      <c r="L61" s="34">
        <v>367.79000000000002</v>
      </c>
      <c r="M61" s="34">
        <v>31.93</v>
      </c>
      <c r="N61" s="35">
        <f>SUM(B61:M61)</f>
        <v>5402.1300000000001</v>
      </c>
    </row>
    <row r="62" ht="13.85">
      <c r="A62" s="34" t="s">
        <v>58</v>
      </c>
      <c r="B62" s="35">
        <v>4106.2200000000003</v>
      </c>
      <c r="C62" s="35">
        <v>3129.5</v>
      </c>
      <c r="D62" s="35">
        <v>3570.4299999999998</v>
      </c>
      <c r="E62" s="35">
        <v>3607.5</v>
      </c>
      <c r="F62" s="35">
        <v>2949.2600000000002</v>
      </c>
      <c r="G62" s="35">
        <v>3117.9699999999998</v>
      </c>
      <c r="H62" s="35">
        <v>2653.5</v>
      </c>
      <c r="I62" s="35">
        <v>2863.5900000000001</v>
      </c>
      <c r="J62" s="35">
        <v>3145.54</v>
      </c>
      <c r="K62" s="34">
        <v>991.88</v>
      </c>
      <c r="L62" s="35">
        <v>2638.3400000000001</v>
      </c>
      <c r="M62" s="35">
        <v>2458.25</v>
      </c>
      <c r="N62" s="35">
        <f>SUM(B62:M62)</f>
        <v>35231.980000000003</v>
      </c>
    </row>
    <row r="63" ht="13.85">
      <c r="A63" s="34" t="s">
        <v>59</v>
      </c>
      <c r="B63" s="34">
        <v>164.12</v>
      </c>
      <c r="C63" s="34">
        <v>0</v>
      </c>
      <c r="D63" s="34">
        <v>0</v>
      </c>
      <c r="E63" s="34">
        <v>41.43</v>
      </c>
      <c r="F63" s="34">
        <v>0</v>
      </c>
      <c r="G63" s="34">
        <v>0</v>
      </c>
      <c r="H63" s="34">
        <v>571.14999999999998</v>
      </c>
      <c r="I63" s="34">
        <v>58.780000000000001</v>
      </c>
      <c r="J63" s="34">
        <v>300.87</v>
      </c>
      <c r="K63" s="34">
        <v>113.40000000000001</v>
      </c>
      <c r="L63" s="34">
        <v>99.019999999999996</v>
      </c>
      <c r="M63" s="34">
        <v>92.569999999999993</v>
      </c>
      <c r="N63" s="35">
        <f>SUM(B63:M63)</f>
        <v>1441.3399999999999</v>
      </c>
    </row>
    <row r="64" ht="13.85">
      <c r="A64" s="34" t="s">
        <v>60</v>
      </c>
      <c r="B64" s="34">
        <v>0</v>
      </c>
      <c r="C64" s="34">
        <v>0</v>
      </c>
      <c r="D64" s="34">
        <v>0</v>
      </c>
      <c r="E64" s="34">
        <v>0</v>
      </c>
      <c r="F64" s="34">
        <v>0</v>
      </c>
      <c r="G64" s="34">
        <v>343.02999999999997</v>
      </c>
      <c r="H64" s="34">
        <v>73.079999999999998</v>
      </c>
      <c r="I64" s="34">
        <v>60.390000000000001</v>
      </c>
      <c r="J64" s="34">
        <v>107.94</v>
      </c>
      <c r="K64" s="34">
        <v>0</v>
      </c>
      <c r="L64" s="34">
        <v>176.22</v>
      </c>
      <c r="M64" s="34">
        <v>0</v>
      </c>
      <c r="N64" s="35">
        <f>SUM(B64:M64)</f>
        <v>760.65999999999997</v>
      </c>
    </row>
    <row r="65" ht="13.85">
      <c r="A65" s="34" t="s">
        <v>61</v>
      </c>
      <c r="B65" s="34">
        <v>0</v>
      </c>
      <c r="C65" s="34">
        <v>0</v>
      </c>
      <c r="D65" s="35">
        <v>4120.8400000000001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5">
        <v>1203.0999999999999</v>
      </c>
      <c r="K65" s="35">
        <v>1203.0999999999999</v>
      </c>
      <c r="L65" s="35">
        <v>1203.0999999999999</v>
      </c>
      <c r="M65" s="35">
        <v>1203.0999999999999</v>
      </c>
      <c r="N65" s="35">
        <f>SUM(B65:M65)</f>
        <v>8933.2400000000016</v>
      </c>
    </row>
    <row r="66" ht="13.85">
      <c r="A66" s="34" t="s">
        <v>62</v>
      </c>
      <c r="B66" s="34">
        <v>615.49000000000001</v>
      </c>
      <c r="C66" s="34">
        <v>902.63</v>
      </c>
      <c r="D66" s="34">
        <v>0</v>
      </c>
      <c r="E66" s="34">
        <v>74.969999999999999</v>
      </c>
      <c r="F66" s="34">
        <v>0</v>
      </c>
      <c r="G66" s="34">
        <v>0</v>
      </c>
      <c r="H66" s="34">
        <v>0</v>
      </c>
      <c r="I66" s="34">
        <v>0</v>
      </c>
      <c r="J66" s="34">
        <v>878.57000000000005</v>
      </c>
      <c r="K66" s="34">
        <v>0</v>
      </c>
      <c r="L66" s="34">
        <v>0</v>
      </c>
      <c r="M66" s="34">
        <v>28.120000000000001</v>
      </c>
      <c r="N66" s="35">
        <f>SUM(B66:M66)</f>
        <v>2499.7799999999997</v>
      </c>
    </row>
    <row r="67" ht="13.85">
      <c r="A67" s="34" t="s">
        <v>63</v>
      </c>
      <c r="B67" s="34">
        <v>0</v>
      </c>
      <c r="C67" s="34">
        <v>0</v>
      </c>
      <c r="D67" s="34">
        <v>0</v>
      </c>
      <c r="E67" s="34">
        <v>55.340000000000003</v>
      </c>
      <c r="F67" s="34">
        <v>0</v>
      </c>
      <c r="G67" s="34">
        <v>0</v>
      </c>
      <c r="H67" s="34">
        <v>0</v>
      </c>
      <c r="I67" s="34">
        <v>0</v>
      </c>
      <c r="J67" s="34">
        <v>38.25</v>
      </c>
      <c r="K67" s="34">
        <v>27.899999999999999</v>
      </c>
      <c r="L67" s="34">
        <v>0</v>
      </c>
      <c r="M67" s="34">
        <v>0</v>
      </c>
      <c r="N67" s="35">
        <f>SUM(B67:M67)</f>
        <v>121.49000000000001</v>
      </c>
    </row>
    <row r="68" ht="13.85">
      <c r="A68" s="34" t="s">
        <v>64</v>
      </c>
      <c r="B68" s="34">
        <v>0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140.78999999999999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5">
        <f>SUM(B68:M68)</f>
        <v>140.78999999999999</v>
      </c>
    </row>
    <row r="69" ht="13.85">
      <c r="A69" s="34" t="s">
        <v>65</v>
      </c>
      <c r="B69" s="34">
        <v>0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40.920000000000002</v>
      </c>
      <c r="K69" s="34">
        <v>0</v>
      </c>
      <c r="L69" s="34">
        <v>86.129999999999995</v>
      </c>
      <c r="M69" s="34">
        <v>0</v>
      </c>
      <c r="N69" s="35">
        <f>SUM(B69:M69)</f>
        <v>127.05</v>
      </c>
    </row>
    <row r="70" ht="13.85">
      <c r="A70" s="34" t="s">
        <v>66</v>
      </c>
      <c r="B70" s="34">
        <v>0</v>
      </c>
      <c r="C70" s="34">
        <v>0</v>
      </c>
      <c r="D70" s="36">
        <v>2940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600</v>
      </c>
      <c r="M70" s="34">
        <v>0</v>
      </c>
      <c r="N70" s="35">
        <f>SUM(B70:M70)</f>
        <v>3540</v>
      </c>
    </row>
    <row r="71" ht="13.85">
      <c r="A71" s="34" t="s">
        <v>67</v>
      </c>
      <c r="B71" s="34">
        <v>0</v>
      </c>
      <c r="C71" s="34">
        <v>0</v>
      </c>
      <c r="D71" s="34">
        <v>0</v>
      </c>
      <c r="E71" s="35">
        <v>1300.8900000000001</v>
      </c>
      <c r="F71" s="34">
        <v>0</v>
      </c>
      <c r="G71" s="34">
        <v>0</v>
      </c>
      <c r="H71" s="34">
        <v>0</v>
      </c>
      <c r="I71" s="34">
        <v>637</v>
      </c>
      <c r="J71" s="34">
        <v>0</v>
      </c>
      <c r="K71" s="34">
        <v>637</v>
      </c>
      <c r="L71" s="34">
        <v>301.08999999999997</v>
      </c>
      <c r="M71" s="34">
        <v>0</v>
      </c>
      <c r="N71" s="35">
        <f>SUM(B71:M71)</f>
        <v>2875.9800000000005</v>
      </c>
    </row>
    <row r="72" ht="13.85">
      <c r="A72" s="34" t="s">
        <v>68</v>
      </c>
      <c r="B72" s="34">
        <v>0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363.25999999999999</v>
      </c>
      <c r="K72" s="34">
        <v>0</v>
      </c>
      <c r="L72" s="34">
        <v>0</v>
      </c>
      <c r="M72" s="34">
        <v>0</v>
      </c>
      <c r="N72" s="35">
        <f>SUM(B72:M72)</f>
        <v>363.25999999999999</v>
      </c>
    </row>
    <row r="73" ht="13.85">
      <c r="A73" s="34" t="s">
        <v>69</v>
      </c>
      <c r="B73" s="35">
        <v>4801.1400000000003</v>
      </c>
      <c r="C73" s="35">
        <v>5269.4399999999996</v>
      </c>
      <c r="D73" s="35">
        <v>-13657.84</v>
      </c>
      <c r="E73" s="35">
        <v>-9359.5599999999995</v>
      </c>
      <c r="F73" s="35">
        <v>2637.0700000000002</v>
      </c>
      <c r="G73" s="35">
        <v>1794.5899999999999</v>
      </c>
      <c r="H73" s="35">
        <v>3234.48</v>
      </c>
      <c r="I73" s="35">
        <v>2821.5700000000002</v>
      </c>
      <c r="J73" s="35">
        <v>2028.1500000000001</v>
      </c>
      <c r="K73" s="35">
        <v>2701.9899999999998</v>
      </c>
      <c r="L73" s="35">
        <v>4216.0799999999999</v>
      </c>
      <c r="M73" s="35">
        <v>5617.2600000000002</v>
      </c>
      <c r="N73" s="35">
        <f>SUM(B73:M73)</f>
        <v>12104.369999999999</v>
      </c>
    </row>
    <row r="74" ht="13.85">
      <c r="A74" s="34" t="s">
        <v>70</v>
      </c>
      <c r="B74" s="35">
        <v>1361.22</v>
      </c>
      <c r="C74" s="34">
        <v>670.32000000000005</v>
      </c>
      <c r="D74" s="34">
        <v>736.22000000000003</v>
      </c>
      <c r="E74" s="35">
        <v>1093.7</v>
      </c>
      <c r="F74" s="35">
        <v>1400.75</v>
      </c>
      <c r="G74" s="35">
        <v>1185.45</v>
      </c>
      <c r="H74" s="35">
        <v>1966.95</v>
      </c>
      <c r="I74" s="35">
        <v>1235.9300000000001</v>
      </c>
      <c r="J74" s="35">
        <v>1215.4400000000001</v>
      </c>
      <c r="K74" s="35">
        <v>2020.5899999999999</v>
      </c>
      <c r="L74" s="35">
        <v>2684.1399999999999</v>
      </c>
      <c r="M74" s="35">
        <v>4245.9399999999996</v>
      </c>
      <c r="N74" s="35">
        <f>SUM(B74:M74)</f>
        <v>19816.650000000001</v>
      </c>
    </row>
    <row r="75" ht="13.85">
      <c r="A75" s="34" t="s">
        <v>71</v>
      </c>
      <c r="B75" s="35">
        <v>1129.53</v>
      </c>
      <c r="C75" s="34">
        <v>0</v>
      </c>
      <c r="D75" s="35">
        <v>18202.07</v>
      </c>
      <c r="E75" s="35">
        <v>2579.6100000000001</v>
      </c>
      <c r="F75" s="35">
        <v>2163.9000000000001</v>
      </c>
      <c r="G75" s="35">
        <v>3714.98</v>
      </c>
      <c r="H75" s="35">
        <v>4043.1300000000001</v>
      </c>
      <c r="I75" s="36">
        <v>3393</v>
      </c>
      <c r="J75" s="35">
        <v>2711.5700000000002</v>
      </c>
      <c r="K75" s="35">
        <v>2439.6399999999999</v>
      </c>
      <c r="L75" s="34">
        <v>702.89999999999998</v>
      </c>
      <c r="M75" s="35">
        <v>3464.1799999999998</v>
      </c>
      <c r="N75" s="35">
        <f>SUM(B75:M75)</f>
        <v>44544.510000000002</v>
      </c>
    </row>
    <row r="76" ht="13.85">
      <c r="A76" s="34" t="s">
        <v>72</v>
      </c>
      <c r="B76" s="34">
        <v>629.10000000000002</v>
      </c>
      <c r="C76" s="34">
        <v>136.68000000000001</v>
      </c>
      <c r="D76" s="34">
        <v>137.16</v>
      </c>
      <c r="E76" s="34">
        <v>32.729999999999997</v>
      </c>
      <c r="F76" s="34">
        <v>40.18</v>
      </c>
      <c r="G76" s="34">
        <v>0</v>
      </c>
      <c r="H76" s="34">
        <v>512.47000000000003</v>
      </c>
      <c r="I76" s="34">
        <v>6.5999999999999996</v>
      </c>
      <c r="J76" s="34">
        <v>545.35000000000002</v>
      </c>
      <c r="K76" s="34">
        <v>-0.69999999999999996</v>
      </c>
      <c r="L76" s="35">
        <v>5130.1599999999999</v>
      </c>
      <c r="M76" s="34">
        <v>179.58000000000001</v>
      </c>
      <c r="N76" s="35">
        <f>SUM(B76:M76)</f>
        <v>7349.3099999999995</v>
      </c>
    </row>
    <row r="77" ht="13.85">
      <c r="A77" s="34" t="s">
        <v>73</v>
      </c>
      <c r="B77" s="34">
        <v>0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107.66</v>
      </c>
      <c r="M77" s="34">
        <v>0</v>
      </c>
      <c r="N77" s="35">
        <f>SUM(B77:M77)</f>
        <v>107.66</v>
      </c>
    </row>
    <row r="78" ht="13.85">
      <c r="A78" s="34" t="s">
        <v>74</v>
      </c>
      <c r="B78" s="34">
        <v>0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960</v>
      </c>
      <c r="M78" s="35">
        <v>1739.78</v>
      </c>
      <c r="N78" s="35">
        <f>SUM(B78:M78)</f>
        <v>2699.7799999999997</v>
      </c>
    </row>
    <row r="79" ht="13.85">
      <c r="A79" s="34" t="s">
        <v>75</v>
      </c>
      <c r="B79" s="34">
        <v>0</v>
      </c>
      <c r="C79" s="34">
        <v>0</v>
      </c>
      <c r="D79" s="34">
        <v>0</v>
      </c>
      <c r="E79" s="34">
        <v>0</v>
      </c>
      <c r="F79" s="34">
        <v>0</v>
      </c>
      <c r="G79" s="34">
        <v>0</v>
      </c>
      <c r="H79" s="34">
        <v>0</v>
      </c>
      <c r="I79" s="34">
        <v>692</v>
      </c>
      <c r="J79" s="34">
        <v>250</v>
      </c>
      <c r="K79" s="34">
        <v>178.80000000000001</v>
      </c>
      <c r="L79" s="34">
        <v>156.69999999999999</v>
      </c>
      <c r="M79" s="34">
        <v>156.69999999999999</v>
      </c>
      <c r="N79" s="35">
        <f>SUM(B79:M79)</f>
        <v>1434.2</v>
      </c>
    </row>
    <row r="80" ht="13.85">
      <c r="A80" s="34" t="s">
        <v>76</v>
      </c>
      <c r="B80" s="34">
        <v>375</v>
      </c>
      <c r="C80" s="34">
        <v>50.82</v>
      </c>
      <c r="D80" s="34">
        <v>100</v>
      </c>
      <c r="E80" s="34">
        <v>598.78999999999996</v>
      </c>
      <c r="F80" s="35">
        <v>1108.0699999999999</v>
      </c>
      <c r="G80" s="34">
        <v>61.469999999999999</v>
      </c>
      <c r="H80" s="35">
        <v>1396.8</v>
      </c>
      <c r="I80" s="34">
        <v>699.87</v>
      </c>
      <c r="J80" s="35">
        <v>1161.2</v>
      </c>
      <c r="K80" s="35">
        <v>1049.3399999999999</v>
      </c>
      <c r="L80" s="35">
        <v>3755.2800000000002</v>
      </c>
      <c r="M80" s="35">
        <v>1599.3900000000001</v>
      </c>
      <c r="N80" s="35">
        <f>SUM(B80:M80)</f>
        <v>11956.029999999999</v>
      </c>
    </row>
    <row r="81" ht="13.85">
      <c r="A81" s="34" t="s">
        <v>77</v>
      </c>
      <c r="B81" s="34">
        <v>0</v>
      </c>
      <c r="C81" s="34">
        <v>276.64999999999998</v>
      </c>
      <c r="D81" s="34">
        <v>65.700000000000003</v>
      </c>
      <c r="E81" s="34">
        <v>43.289999999999999</v>
      </c>
      <c r="F81" s="34">
        <v>12.289999999999999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5">
        <f>SUM(B81:M81)</f>
        <v>397.93000000000001</v>
      </c>
    </row>
    <row r="82" ht="13.85">
      <c r="A82" s="34" t="s">
        <v>78</v>
      </c>
      <c r="B82" s="34">
        <v>0</v>
      </c>
      <c r="C82" s="34">
        <v>0</v>
      </c>
      <c r="D82" s="34">
        <v>0</v>
      </c>
      <c r="E82" s="34">
        <v>0</v>
      </c>
      <c r="F82" s="34">
        <v>42.32</v>
      </c>
      <c r="G82" s="34">
        <v>0</v>
      </c>
      <c r="H82" s="34">
        <v>29.989999999999998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5">
        <f>SUM(B82:M82)</f>
        <v>72.310000000000002</v>
      </c>
    </row>
    <row r="83" ht="13.85">
      <c r="A83" s="34" t="s">
        <v>79</v>
      </c>
      <c r="B83" s="34">
        <v>0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86.599999999999994</v>
      </c>
      <c r="J83" s="34">
        <v>0</v>
      </c>
      <c r="K83" s="34">
        <v>0</v>
      </c>
      <c r="L83" s="34">
        <v>0</v>
      </c>
      <c r="M83" s="34">
        <v>0</v>
      </c>
      <c r="N83" s="35">
        <f>SUM(B83:M83)</f>
        <v>86.599999999999994</v>
      </c>
    </row>
    <row r="84" ht="13.85">
      <c r="A84" s="34" t="s">
        <v>80</v>
      </c>
      <c r="B84" s="35">
        <v>41393.110000000001</v>
      </c>
      <c r="C84" s="35">
        <v>41393.43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5">
        <f>SUM(B84:M84)</f>
        <v>82786.540000000008</v>
      </c>
    </row>
    <row r="85" ht="13.85">
      <c r="A85" s="31" t="s">
        <v>81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ht="13.85">
      <c r="A86" s="34" t="s">
        <v>82</v>
      </c>
      <c r="B86" s="35">
        <v>4959.3299999999999</v>
      </c>
      <c r="C86" s="35">
        <v>6736.5200000000004</v>
      </c>
      <c r="D86" s="35">
        <v>8569.7199999999993</v>
      </c>
      <c r="E86" s="35">
        <v>8458.2199999999993</v>
      </c>
      <c r="F86" s="35">
        <v>8203.8099999999995</v>
      </c>
      <c r="G86" s="35">
        <v>7404.46</v>
      </c>
      <c r="H86" s="35">
        <v>5371.25</v>
      </c>
      <c r="I86" s="35">
        <v>5575.54</v>
      </c>
      <c r="J86" s="35">
        <v>6130.5500000000002</v>
      </c>
      <c r="K86" s="35">
        <v>6367.0600000000004</v>
      </c>
      <c r="L86" s="35">
        <v>5570.0900000000001</v>
      </c>
      <c r="M86" s="35">
        <v>5278.4200000000001</v>
      </c>
      <c r="N86" s="35">
        <f>SUM(B86:M86)</f>
        <v>78624.970000000001</v>
      </c>
    </row>
    <row r="87" ht="13.85">
      <c r="A87" s="34" t="s">
        <v>83</v>
      </c>
      <c r="B87" s="34">
        <v>290.85000000000002</v>
      </c>
      <c r="C87" s="34">
        <v>512.91999999999996</v>
      </c>
      <c r="D87" s="34">
        <v>543.64999999999998</v>
      </c>
      <c r="E87" s="34">
        <v>498.94999999999999</v>
      </c>
      <c r="F87" s="34">
        <v>332.31</v>
      </c>
      <c r="G87" s="34">
        <v>332.31</v>
      </c>
      <c r="H87" s="34">
        <v>0</v>
      </c>
      <c r="I87" s="34">
        <v>113.09999999999999</v>
      </c>
      <c r="J87" s="34">
        <v>180.5</v>
      </c>
      <c r="K87" s="34">
        <v>-308.42000000000002</v>
      </c>
      <c r="L87" s="34">
        <v>342</v>
      </c>
      <c r="M87" s="34">
        <v>191.84999999999999</v>
      </c>
      <c r="N87" s="35">
        <f>SUM(B87:M87)</f>
        <v>3030.02</v>
      </c>
    </row>
    <row r="88" ht="13.85">
      <c r="A88" s="34" t="s">
        <v>84</v>
      </c>
      <c r="B88" s="34">
        <v>0</v>
      </c>
      <c r="C88" s="35">
        <v>2176.7600000000002</v>
      </c>
      <c r="D88" s="35">
        <v>3294.54</v>
      </c>
      <c r="E88" s="35">
        <v>3300.4200000000001</v>
      </c>
      <c r="F88" s="35">
        <v>3369.48</v>
      </c>
      <c r="G88" s="35">
        <v>3981.48</v>
      </c>
      <c r="H88" s="35">
        <v>4338.8500000000004</v>
      </c>
      <c r="I88" s="35">
        <v>3947.3499999999999</v>
      </c>
      <c r="J88" s="35">
        <v>3984.4000000000001</v>
      </c>
      <c r="K88" s="35">
        <v>5211.0699999999997</v>
      </c>
      <c r="L88" s="35">
        <v>4204.0200000000004</v>
      </c>
      <c r="M88" s="35">
        <v>4198.4099999999999</v>
      </c>
      <c r="N88" s="35">
        <f>SUM(B88:M88)</f>
        <v>42006.779999999999</v>
      </c>
    </row>
    <row r="89" ht="13.85">
      <c r="A89" s="34" t="s">
        <v>85</v>
      </c>
      <c r="B89" s="35">
        <v>1193.03</v>
      </c>
      <c r="C89" s="34">
        <v>592.75</v>
      </c>
      <c r="D89" s="34">
        <v>592.75</v>
      </c>
      <c r="E89" s="34">
        <v>687.79999999999995</v>
      </c>
      <c r="F89" s="34">
        <v>687.79999999999995</v>
      </c>
      <c r="G89" s="34">
        <v>687.79999999999995</v>
      </c>
      <c r="H89" s="34">
        <v>687.79999999999995</v>
      </c>
      <c r="I89" s="34">
        <v>687.79999999999995</v>
      </c>
      <c r="J89" s="34">
        <v>687.79999999999995</v>
      </c>
      <c r="K89" s="34">
        <v>729.79999999999995</v>
      </c>
      <c r="L89" s="34">
        <v>729.79999999999995</v>
      </c>
      <c r="M89" s="34">
        <v>729.79999999999995</v>
      </c>
      <c r="N89" s="35">
        <f>SUM(B89:M89)</f>
        <v>8694.7300000000014</v>
      </c>
    </row>
    <row r="90" ht="13.85">
      <c r="A90" s="34" t="s">
        <v>86</v>
      </c>
      <c r="B90" s="38">
        <v>1632.0899999999999</v>
      </c>
      <c r="C90" s="40">
        <v>698.25</v>
      </c>
      <c r="D90" s="40">
        <v>855.70000000000005</v>
      </c>
      <c r="E90" s="38">
        <v>1085.1300000000001</v>
      </c>
      <c r="F90" s="38">
        <v>1222.96</v>
      </c>
      <c r="G90" s="38">
        <v>1345.4300000000001</v>
      </c>
      <c r="H90" s="38">
        <v>1497.96</v>
      </c>
      <c r="I90" s="38">
        <v>2125.25</v>
      </c>
      <c r="J90" s="38">
        <v>5167.3800000000001</v>
      </c>
      <c r="K90" s="38">
        <v>1799.6500000000001</v>
      </c>
      <c r="L90" s="38">
        <v>1819.98</v>
      </c>
      <c r="M90" s="38">
        <v>1471.8599999999999</v>
      </c>
      <c r="N90" s="35">
        <f>SUM(B90:M90)</f>
        <v>20721.640000000003</v>
      </c>
    </row>
    <row r="91" ht="13.85">
      <c r="A91" s="31" t="s">
        <v>87</v>
      </c>
      <c r="B91" s="43">
        <v>8075.3000000000002</v>
      </c>
      <c r="C91" s="43">
        <v>10717.200000000001</v>
      </c>
      <c r="D91" s="43">
        <v>13856.360000000001</v>
      </c>
      <c r="E91" s="43">
        <v>14030.52</v>
      </c>
      <c r="F91" s="43">
        <v>13816.360000000001</v>
      </c>
      <c r="G91" s="43">
        <v>13751.48</v>
      </c>
      <c r="H91" s="43">
        <v>11895.860000000001</v>
      </c>
      <c r="I91" s="43">
        <v>12449.040000000001</v>
      </c>
      <c r="J91" s="43">
        <v>16150.629999999999</v>
      </c>
      <c r="K91" s="43">
        <v>13799.16</v>
      </c>
      <c r="L91" s="43">
        <v>12665.889999999999</v>
      </c>
      <c r="M91" s="43">
        <v>11870.34</v>
      </c>
      <c r="N91" s="35">
        <f>SUM(B91:M91)</f>
        <v>153078.13999999998</v>
      </c>
    </row>
    <row r="92" ht="13.85">
      <c r="A92" s="31" t="s">
        <v>88</v>
      </c>
      <c r="B92" s="39">
        <v>100671.35000000001</v>
      </c>
      <c r="C92" s="39">
        <v>112066.97</v>
      </c>
      <c r="D92" s="39">
        <v>74853.899999999994</v>
      </c>
      <c r="E92" s="39">
        <v>57030.980000000003</v>
      </c>
      <c r="F92" s="39">
        <v>63302.779999999999</v>
      </c>
      <c r="G92" s="39">
        <v>81622.059999999998</v>
      </c>
      <c r="H92" s="39">
        <v>71852.710000000006</v>
      </c>
      <c r="I92" s="39">
        <v>72697.470000000001</v>
      </c>
      <c r="J92" s="39">
        <v>56880.449999999997</v>
      </c>
      <c r="K92" s="39">
        <v>55239.889999999999</v>
      </c>
      <c r="L92" s="39">
        <v>70151.990000000005</v>
      </c>
      <c r="M92" s="39">
        <v>58328.940000000002</v>
      </c>
      <c r="N92" s="41">
        <f>SUM(B92:M92)</f>
        <v>874699.48999999999</v>
      </c>
    </row>
    <row r="93" ht="13.8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</row>
    <row r="94" ht="13.85">
      <c r="A94" s="31" t="s">
        <v>89</v>
      </c>
      <c r="B94" s="44">
        <v>142933.73000000001</v>
      </c>
      <c r="C94" s="44">
        <v>112463.23</v>
      </c>
      <c r="D94" s="44">
        <v>166384.54000000001</v>
      </c>
      <c r="E94" s="44">
        <v>185011.28</v>
      </c>
      <c r="F94" s="44">
        <v>177055.73999999999</v>
      </c>
      <c r="G94" s="44">
        <v>169373.42999999999</v>
      </c>
      <c r="H94" s="44">
        <v>184616.98000000001</v>
      </c>
      <c r="I94" s="44">
        <v>210739.09</v>
      </c>
      <c r="J94" s="44">
        <v>216403.69</v>
      </c>
      <c r="K94" s="44">
        <v>218385.95000000001</v>
      </c>
      <c r="L94" s="44">
        <v>216554.64000000001</v>
      </c>
      <c r="M94" s="44">
        <v>225235.62</v>
      </c>
      <c r="N94" s="35">
        <f>SUM(B94:M94)</f>
        <v>2225157.9199999999</v>
      </c>
    </row>
    <row r="95" ht="13.8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</row>
    <row r="96" ht="13.85">
      <c r="A96" s="31" t="s">
        <v>90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</row>
    <row r="97" ht="13.85">
      <c r="A97" s="31" t="s">
        <v>91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 ht="13.85">
      <c r="A98" s="34" t="s">
        <v>92</v>
      </c>
      <c r="B98" s="40">
        <v>0</v>
      </c>
      <c r="C98" s="38">
        <v>430994.17999999999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38">
        <v>243021.78</v>
      </c>
      <c r="L98" s="40">
        <v>0</v>
      </c>
      <c r="M98" s="40">
        <v>0</v>
      </c>
      <c r="N98" s="35">
        <f>SUM(B98:M98)</f>
        <v>674015.95999999996</v>
      </c>
    </row>
    <row r="99" ht="13.85">
      <c r="A99" s="31" t="s">
        <v>93</v>
      </c>
      <c r="B99" s="42">
        <v>0</v>
      </c>
      <c r="C99" s="39">
        <v>430994.17999999999</v>
      </c>
      <c r="D99" s="42">
        <v>0</v>
      </c>
      <c r="E99" s="42">
        <v>0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39">
        <v>243021.78</v>
      </c>
      <c r="L99" s="42">
        <v>0</v>
      </c>
      <c r="M99" s="42">
        <v>0</v>
      </c>
      <c r="N99" s="41">
        <f>SUM(B99:M99)</f>
        <v>674015.95999999996</v>
      </c>
    </row>
    <row r="100" ht="13.85">
      <c r="A100" s="31" t="s">
        <v>94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</row>
    <row r="101" ht="13.85">
      <c r="A101" s="34" t="s">
        <v>95</v>
      </c>
      <c r="B101" s="34">
        <v>0</v>
      </c>
      <c r="C101" s="34">
        <v>0</v>
      </c>
      <c r="D101" s="34">
        <v>0</v>
      </c>
      <c r="E101" s="34">
        <v>0</v>
      </c>
      <c r="F101" s="36">
        <v>10000</v>
      </c>
      <c r="G101" s="34">
        <v>0</v>
      </c>
      <c r="H101" s="36">
        <v>20704</v>
      </c>
      <c r="I101" s="36">
        <v>8480</v>
      </c>
      <c r="J101" s="36">
        <v>7500</v>
      </c>
      <c r="K101" s="34">
        <v>0</v>
      </c>
      <c r="L101" s="36">
        <v>22048</v>
      </c>
      <c r="M101" s="34">
        <v>0</v>
      </c>
      <c r="N101" s="35">
        <f>SUM(B101:M101)</f>
        <v>68732</v>
      </c>
    </row>
    <row r="102" ht="13.85">
      <c r="A102" s="31" t="s">
        <v>96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</row>
    <row r="103" ht="13.85">
      <c r="A103" s="34" t="s">
        <v>97</v>
      </c>
      <c r="B103" s="38">
        <v>193466.82000000001</v>
      </c>
      <c r="C103" s="38">
        <v>195196.23000000001</v>
      </c>
      <c r="D103" s="38">
        <v>189292.70999999999</v>
      </c>
      <c r="E103" s="38">
        <v>171047.95999999999</v>
      </c>
      <c r="F103" s="38">
        <v>188839.98999999999</v>
      </c>
      <c r="G103" s="38">
        <v>183343.92999999999</v>
      </c>
      <c r="H103" s="38">
        <v>188405.38</v>
      </c>
      <c r="I103" s="38">
        <v>181967.64999999999</v>
      </c>
      <c r="J103" s="38">
        <v>189274.60000000001</v>
      </c>
      <c r="K103" s="38">
        <v>188206.26000000001</v>
      </c>
      <c r="L103" s="38">
        <v>178033.48000000001</v>
      </c>
      <c r="M103" s="38">
        <v>178144.51000000001</v>
      </c>
      <c r="N103" s="35">
        <f>SUM(B103:M103)</f>
        <v>2225219.52</v>
      </c>
    </row>
    <row r="104" ht="13.85">
      <c r="A104" s="31" t="s">
        <v>98</v>
      </c>
      <c r="B104" s="39">
        <v>193466.82000000001</v>
      </c>
      <c r="C104" s="39">
        <v>195196.23000000001</v>
      </c>
      <c r="D104" s="39">
        <v>189292.70999999999</v>
      </c>
      <c r="E104" s="39">
        <v>171047.95999999999</v>
      </c>
      <c r="F104" s="39">
        <v>188839.98999999999</v>
      </c>
      <c r="G104" s="39">
        <v>183343.92999999999</v>
      </c>
      <c r="H104" s="39">
        <v>188405.38</v>
      </c>
      <c r="I104" s="39">
        <v>181967.64999999999</v>
      </c>
      <c r="J104" s="39">
        <v>189274.60000000001</v>
      </c>
      <c r="K104" s="39">
        <v>188206.26000000001</v>
      </c>
      <c r="L104" s="39">
        <v>178033.48000000001</v>
      </c>
      <c r="M104" s="39">
        <v>178144.51000000001</v>
      </c>
      <c r="N104" s="41">
        <f>SUM(B104:M104)</f>
        <v>2225219.52</v>
      </c>
    </row>
    <row r="105" ht="13.85">
      <c r="A105" s="34" t="s">
        <v>99</v>
      </c>
      <c r="B105" s="34">
        <v>0</v>
      </c>
      <c r="C105" s="35">
        <v>34747.879999999997</v>
      </c>
      <c r="D105" s="34">
        <v>0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5">
        <f>SUM(B105:M105)</f>
        <v>34747.879999999997</v>
      </c>
    </row>
    <row r="106" ht="13.85">
      <c r="A106" s="34" t="s">
        <v>100</v>
      </c>
      <c r="B106" s="34">
        <v>0</v>
      </c>
      <c r="C106" s="34">
        <v>125</v>
      </c>
      <c r="D106" s="34">
        <v>125</v>
      </c>
      <c r="E106" s="34">
        <v>125</v>
      </c>
      <c r="F106" s="34">
        <v>125</v>
      </c>
      <c r="G106" s="34">
        <v>125</v>
      </c>
      <c r="H106" s="34">
        <v>125</v>
      </c>
      <c r="I106" s="34">
        <v>125</v>
      </c>
      <c r="J106" s="34">
        <v>125</v>
      </c>
      <c r="K106" s="34">
        <v>500</v>
      </c>
      <c r="L106" s="34">
        <v>0</v>
      </c>
      <c r="M106" s="34">
        <v>0</v>
      </c>
      <c r="N106" s="35">
        <f>SUM(B106:M106)</f>
        <v>1500</v>
      </c>
    </row>
    <row r="107" ht="13.85">
      <c r="A107" s="34" t="s">
        <v>101</v>
      </c>
      <c r="B107" s="34">
        <v>0</v>
      </c>
      <c r="C107" s="34">
        <v>0</v>
      </c>
      <c r="D107" s="35">
        <v>1467.28</v>
      </c>
      <c r="E107" s="35">
        <v>1971.8900000000001</v>
      </c>
      <c r="F107" s="35">
        <v>1662.1500000000001</v>
      </c>
      <c r="G107" s="35">
        <v>1765.75</v>
      </c>
      <c r="H107" s="35">
        <v>1761.55</v>
      </c>
      <c r="I107" s="34">
        <v>791.65999999999997</v>
      </c>
      <c r="J107" s="34">
        <v>0</v>
      </c>
      <c r="K107" s="34">
        <v>0</v>
      </c>
      <c r="L107" s="35">
        <v>40494.660000000003</v>
      </c>
      <c r="M107" s="35">
        <v>-40494.660000000003</v>
      </c>
      <c r="N107" s="35">
        <f>SUM(B107:M107)</f>
        <v>9420.2799999999988</v>
      </c>
    </row>
    <row r="108" ht="13.85">
      <c r="A108" s="34" t="s">
        <v>102</v>
      </c>
      <c r="B108" s="35">
        <v>4147.5</v>
      </c>
      <c r="C108" s="34">
        <v>-972.5</v>
      </c>
      <c r="D108" s="35">
        <v>54735.739999999998</v>
      </c>
      <c r="E108" s="35">
        <v>3182.5</v>
      </c>
      <c r="F108" s="36">
        <v>6145</v>
      </c>
      <c r="G108" s="35">
        <v>5857.7600000000002</v>
      </c>
      <c r="H108" s="36">
        <v>9145</v>
      </c>
      <c r="I108" s="36">
        <v>21470</v>
      </c>
      <c r="J108" s="35">
        <v>105113.2</v>
      </c>
      <c r="K108" s="35">
        <v>11303.5</v>
      </c>
      <c r="L108" s="36">
        <v>60900</v>
      </c>
      <c r="M108" s="35">
        <v>-66731.059999999998</v>
      </c>
      <c r="N108" s="35">
        <f>SUM(B108:M108)</f>
        <v>214296.63999999996</v>
      </c>
    </row>
    <row r="109" ht="13.85">
      <c r="A109" s="31" t="s">
        <v>103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</row>
    <row r="110" ht="13.85">
      <c r="A110" s="34" t="s">
        <v>104</v>
      </c>
      <c r="B110" s="35">
        <v>7682.5</v>
      </c>
      <c r="C110" s="35">
        <v>9952.5</v>
      </c>
      <c r="D110" s="35">
        <v>9331.5</v>
      </c>
      <c r="E110" s="36">
        <v>4670</v>
      </c>
      <c r="F110" s="35">
        <v>46209.599999999999</v>
      </c>
      <c r="G110" s="35">
        <v>12812.879999999999</v>
      </c>
      <c r="H110" s="35">
        <v>33137.5</v>
      </c>
      <c r="I110" s="36">
        <v>4336</v>
      </c>
      <c r="J110" s="36">
        <v>18259</v>
      </c>
      <c r="K110" s="34">
        <v>0</v>
      </c>
      <c r="L110" s="35">
        <v>26664.689999999999</v>
      </c>
      <c r="M110" s="34">
        <v>0</v>
      </c>
      <c r="N110" s="35">
        <f>SUM(B110:M110)</f>
        <v>173056.17000000001</v>
      </c>
    </row>
    <row r="111" ht="13.85">
      <c r="A111" s="34" t="s">
        <v>105</v>
      </c>
      <c r="B111" s="34">
        <v>211.91999999999999</v>
      </c>
      <c r="C111" s="34">
        <v>0</v>
      </c>
      <c r="D111" s="34">
        <v>0</v>
      </c>
      <c r="E111" s="35">
        <v>3206.79</v>
      </c>
      <c r="F111" s="34">
        <v>118.76000000000001</v>
      </c>
      <c r="G111" s="34">
        <v>0</v>
      </c>
      <c r="H111" s="34">
        <v>157.94999999999999</v>
      </c>
      <c r="I111" s="34">
        <v>0</v>
      </c>
      <c r="J111" s="34">
        <v>808.13999999999999</v>
      </c>
      <c r="K111" s="34">
        <v>0</v>
      </c>
      <c r="L111" s="34">
        <v>0</v>
      </c>
      <c r="M111" s="34">
        <v>0</v>
      </c>
      <c r="N111" s="35">
        <f>SUM(B111:M111)</f>
        <v>4503.5600000000004</v>
      </c>
    </row>
    <row r="112" ht="13.85">
      <c r="A112" s="34" t="s">
        <v>106</v>
      </c>
      <c r="B112" s="34">
        <v>75</v>
      </c>
      <c r="C112" s="34">
        <v>0</v>
      </c>
      <c r="D112" s="34">
        <v>0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346.56999999999999</v>
      </c>
      <c r="L112" s="34">
        <v>4.6699999999999999</v>
      </c>
      <c r="M112" s="34">
        <v>0</v>
      </c>
      <c r="N112" s="35">
        <f>SUM(B112:M112)</f>
        <v>426.24000000000001</v>
      </c>
    </row>
    <row r="113" ht="13.85">
      <c r="A113" s="34" t="s">
        <v>107</v>
      </c>
      <c r="B113" s="40">
        <v>0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38">
        <v>1554.8199999999999</v>
      </c>
      <c r="M113" s="40">
        <v>0</v>
      </c>
      <c r="N113" s="35">
        <f>SUM(B113:M113)</f>
        <v>1554.8199999999999</v>
      </c>
    </row>
    <row r="114" ht="13.85">
      <c r="A114" s="31" t="s">
        <v>108</v>
      </c>
      <c r="B114" s="39">
        <v>7969.4200000000001</v>
      </c>
      <c r="C114" s="39">
        <v>9952.5</v>
      </c>
      <c r="D114" s="39">
        <v>9331.5</v>
      </c>
      <c r="E114" s="39">
        <v>7876.79</v>
      </c>
      <c r="F114" s="39">
        <v>46328.360000000001</v>
      </c>
      <c r="G114" s="39">
        <v>12812.879999999999</v>
      </c>
      <c r="H114" s="39">
        <v>33295.449999999997</v>
      </c>
      <c r="I114" s="45">
        <v>4336</v>
      </c>
      <c r="J114" s="39">
        <v>19067.139999999999</v>
      </c>
      <c r="K114" s="42">
        <v>346.56999999999999</v>
      </c>
      <c r="L114" s="39">
        <v>28224.18</v>
      </c>
      <c r="M114" s="42">
        <v>0</v>
      </c>
      <c r="N114" s="41">
        <f>SUM(B114:M114)</f>
        <v>179540.79000000004</v>
      </c>
    </row>
    <row r="115" ht="13.85">
      <c r="A115" s="31" t="s">
        <v>109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</row>
    <row r="116" ht="13.85">
      <c r="A116" s="34" t="s">
        <v>110</v>
      </c>
      <c r="B116" s="35">
        <v>1769.74</v>
      </c>
      <c r="C116" s="34">
        <v>0</v>
      </c>
      <c r="D116" s="35">
        <v>18737.48</v>
      </c>
      <c r="E116" s="35">
        <v>26069.470000000001</v>
      </c>
      <c r="F116" s="35">
        <v>4194.3299999999999</v>
      </c>
      <c r="G116" s="35">
        <v>6065.4899999999998</v>
      </c>
      <c r="H116" s="35">
        <v>5154.9799999999996</v>
      </c>
      <c r="I116" s="35">
        <v>12056.690000000001</v>
      </c>
      <c r="J116" s="35">
        <v>16749.880000000001</v>
      </c>
      <c r="K116" s="35">
        <v>33221.089999999997</v>
      </c>
      <c r="L116" s="35">
        <v>21589.669999999998</v>
      </c>
      <c r="M116" s="34">
        <v>0</v>
      </c>
      <c r="N116" s="35">
        <f>SUM(B116:M116)</f>
        <v>145608.82000000001</v>
      </c>
    </row>
    <row r="117" ht="13.85">
      <c r="A117" s="34" t="s">
        <v>111</v>
      </c>
      <c r="B117" s="34">
        <v>0</v>
      </c>
      <c r="C117" s="34">
        <v>0</v>
      </c>
      <c r="D117" s="35">
        <v>8024.9200000000001</v>
      </c>
      <c r="E117" s="34">
        <v>0</v>
      </c>
      <c r="F117" s="34">
        <v>0</v>
      </c>
      <c r="G117" s="34">
        <v>0</v>
      </c>
      <c r="H117" s="35">
        <v>2243.79</v>
      </c>
      <c r="I117" s="35">
        <v>2283.0900000000001</v>
      </c>
      <c r="J117" s="34">
        <v>0</v>
      </c>
      <c r="K117" s="34">
        <v>298.52999999999997</v>
      </c>
      <c r="L117" s="34">
        <v>0</v>
      </c>
      <c r="M117" s="34">
        <v>0</v>
      </c>
      <c r="N117" s="35">
        <f>SUM(B117:M117)</f>
        <v>12850.33</v>
      </c>
    </row>
    <row r="118" ht="13.85">
      <c r="A118" s="34" t="s">
        <v>112</v>
      </c>
      <c r="B118" s="35">
        <v>2294.1399999999999</v>
      </c>
      <c r="C118" s="34">
        <v>0</v>
      </c>
      <c r="D118" s="36">
        <v>3285</v>
      </c>
      <c r="E118" s="36">
        <v>2580</v>
      </c>
      <c r="F118" s="34">
        <v>700</v>
      </c>
      <c r="G118" s="35">
        <v>1600.7</v>
      </c>
      <c r="H118" s="36">
        <v>2200</v>
      </c>
      <c r="I118" s="36">
        <v>4405</v>
      </c>
      <c r="J118" s="36">
        <v>2355</v>
      </c>
      <c r="K118" s="35">
        <v>2067.73</v>
      </c>
      <c r="L118" s="34">
        <v>950</v>
      </c>
      <c r="M118" s="34">
        <v>0</v>
      </c>
      <c r="N118" s="35">
        <f>SUM(B118:M118)</f>
        <v>22437.57</v>
      </c>
    </row>
    <row r="119" ht="13.85">
      <c r="A119" s="34" t="s">
        <v>113</v>
      </c>
      <c r="B119" s="40">
        <v>0</v>
      </c>
      <c r="C119" s="37">
        <v>3060</v>
      </c>
      <c r="D119" s="40">
        <v>0</v>
      </c>
      <c r="E119" s="40">
        <v>0</v>
      </c>
      <c r="F119" s="40">
        <v>0</v>
      </c>
      <c r="G119" s="40">
        <v>260.69999999999999</v>
      </c>
      <c r="H119" s="40">
        <v>0</v>
      </c>
      <c r="I119" s="38">
        <v>1038.1800000000001</v>
      </c>
      <c r="J119" s="40">
        <v>943.47000000000003</v>
      </c>
      <c r="K119" s="38">
        <v>4859.0699999999997</v>
      </c>
      <c r="L119" s="38">
        <v>12620.360000000001</v>
      </c>
      <c r="M119" s="38">
        <v>2255.6799999999998</v>
      </c>
      <c r="N119" s="35">
        <f>SUM(B119:M119)</f>
        <v>25037.459999999999</v>
      </c>
    </row>
    <row r="120" ht="13.85">
      <c r="A120" s="31" t="s">
        <v>114</v>
      </c>
      <c r="B120" s="39">
        <v>4063.8800000000001</v>
      </c>
      <c r="C120" s="45">
        <v>3060</v>
      </c>
      <c r="D120" s="39">
        <v>30047.400000000001</v>
      </c>
      <c r="E120" s="39">
        <v>28649.470000000001</v>
      </c>
      <c r="F120" s="39">
        <v>4894.3299999999999</v>
      </c>
      <c r="G120" s="39">
        <v>7926.8900000000003</v>
      </c>
      <c r="H120" s="39">
        <v>9598.7700000000004</v>
      </c>
      <c r="I120" s="39">
        <v>19782.959999999999</v>
      </c>
      <c r="J120" s="39">
        <v>20048.349999999999</v>
      </c>
      <c r="K120" s="39">
        <v>40446.419999999998</v>
      </c>
      <c r="L120" s="39">
        <v>35160.029999999999</v>
      </c>
      <c r="M120" s="39">
        <v>2255.6799999999998</v>
      </c>
      <c r="N120" s="41">
        <f>SUM(B120:M120)</f>
        <v>205934.18000000002</v>
      </c>
    </row>
    <row r="121" ht="13.85">
      <c r="A121" s="34" t="s">
        <v>115</v>
      </c>
      <c r="B121" s="40">
        <v>0</v>
      </c>
      <c r="C121" s="40">
        <v>0</v>
      </c>
      <c r="D121" s="40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38">
        <v>10659.549999999999</v>
      </c>
      <c r="M121" s="38">
        <v>1207.4400000000001</v>
      </c>
      <c r="N121" s="35">
        <f>SUM(B121:M121)</f>
        <v>11866.99</v>
      </c>
    </row>
    <row r="122" ht="13.85">
      <c r="A122" s="31" t="s">
        <v>116</v>
      </c>
      <c r="B122" s="39">
        <v>209647.62</v>
      </c>
      <c r="C122" s="39">
        <v>242109.10999999999</v>
      </c>
      <c r="D122" s="39">
        <v>284999.63</v>
      </c>
      <c r="E122" s="39">
        <v>212853.60999999999</v>
      </c>
      <c r="F122" s="39">
        <v>257994.82999999999</v>
      </c>
      <c r="G122" s="39">
        <v>211832.20999999999</v>
      </c>
      <c r="H122" s="39">
        <v>263035.15000000002</v>
      </c>
      <c r="I122" s="39">
        <v>236953.26999999999</v>
      </c>
      <c r="J122" s="39">
        <v>341128.28999999998</v>
      </c>
      <c r="K122" s="39">
        <v>240802.75</v>
      </c>
      <c r="L122" s="39">
        <v>375519.90000000002</v>
      </c>
      <c r="M122" s="39">
        <v>74381.910000000003</v>
      </c>
      <c r="N122" s="41">
        <f>SUM(B122:M122)</f>
        <v>2951258.2800000003</v>
      </c>
    </row>
    <row r="123" ht="13.85">
      <c r="A123" s="32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7"/>
    </row>
    <row r="124" ht="13.85">
      <c r="A124" s="31" t="s">
        <v>117</v>
      </c>
      <c r="B124" s="39">
        <v>-209647.62</v>
      </c>
      <c r="C124" s="39">
        <v>188885.07000000001</v>
      </c>
      <c r="D124" s="39">
        <v>-284999.63</v>
      </c>
      <c r="E124" s="39">
        <v>-212853.60999999999</v>
      </c>
      <c r="F124" s="39">
        <v>-257994.82999999999</v>
      </c>
      <c r="G124" s="39">
        <v>-211832.20999999999</v>
      </c>
      <c r="H124" s="39">
        <v>-263035.15000000002</v>
      </c>
      <c r="I124" s="39">
        <v>-236953.26999999999</v>
      </c>
      <c r="J124" s="39">
        <v>-341128.28999999998</v>
      </c>
      <c r="K124" s="39">
        <v>2219.0300000000002</v>
      </c>
      <c r="L124" s="39">
        <v>-375519.90000000002</v>
      </c>
      <c r="M124" s="39">
        <v>-74381.910000000003</v>
      </c>
      <c r="N124" s="35">
        <f>SUM(B124:M124)</f>
        <v>-2277242.3200000003</v>
      </c>
    </row>
    <row r="125" ht="13.8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</row>
    <row r="126" ht="13.85">
      <c r="A126" s="34" t="s">
        <v>118</v>
      </c>
      <c r="B126" s="35">
        <v>243605.07999999999</v>
      </c>
      <c r="C126" s="35">
        <v>655524.38</v>
      </c>
      <c r="D126" s="35">
        <v>241238.44</v>
      </c>
      <c r="E126" s="35">
        <v>242042.26000000001</v>
      </c>
      <c r="F126" s="35">
        <v>240358.51999999999</v>
      </c>
      <c r="G126" s="35">
        <v>250995.48999999999</v>
      </c>
      <c r="H126" s="35">
        <v>256469.69</v>
      </c>
      <c r="I126" s="35">
        <v>283436.56</v>
      </c>
      <c r="J126" s="35">
        <v>273284.14000000001</v>
      </c>
      <c r="K126" s="35">
        <v>516647.62</v>
      </c>
      <c r="L126" s="35">
        <v>286706.63</v>
      </c>
      <c r="M126" s="35">
        <v>283564.56</v>
      </c>
      <c r="N126" s="35">
        <f>SUM(B126:M126)</f>
        <v>3773873.3700000001</v>
      </c>
    </row>
    <row r="127" ht="13.85">
      <c r="A127" s="34" t="s">
        <v>119</v>
      </c>
      <c r="B127" s="35">
        <v>310318.96999999997</v>
      </c>
      <c r="C127" s="35">
        <v>354176.08000000002</v>
      </c>
      <c r="D127" s="35">
        <v>359853.53000000003</v>
      </c>
      <c r="E127" s="35">
        <v>269884.59000000003</v>
      </c>
      <c r="F127" s="35">
        <v>321297.60999999999</v>
      </c>
      <c r="G127" s="35">
        <v>293454.27000000002</v>
      </c>
      <c r="H127" s="35">
        <v>334887.85999999999</v>
      </c>
      <c r="I127" s="35">
        <v>309650.73999999999</v>
      </c>
      <c r="J127" s="35">
        <v>398008.73999999999</v>
      </c>
      <c r="K127" s="35">
        <v>296042.64000000001</v>
      </c>
      <c r="L127" s="35">
        <v>445671.89000000001</v>
      </c>
      <c r="M127" s="35">
        <v>132710.85000000001</v>
      </c>
      <c r="N127" s="35">
        <f>SUM(B127:M127)</f>
        <v>3825957.7700000009</v>
      </c>
    </row>
    <row r="128" ht="13.85">
      <c r="A128" s="32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7"/>
    </row>
    <row r="129" ht="13.85">
      <c r="A129" s="31" t="s">
        <v>120</v>
      </c>
      <c r="B129" s="49">
        <v>-66713.889999999999</v>
      </c>
      <c r="C129" s="49">
        <v>301348.29999999999</v>
      </c>
      <c r="D129" s="49">
        <v>-118615.09</v>
      </c>
      <c r="E129" s="49">
        <v>-27842.330000000002</v>
      </c>
      <c r="F129" s="49">
        <v>-80939.089999999997</v>
      </c>
      <c r="G129" s="49">
        <v>-42458.779999999999</v>
      </c>
      <c r="H129" s="49">
        <v>-78418.169999999998</v>
      </c>
      <c r="I129" s="49">
        <v>-26214.18</v>
      </c>
      <c r="J129" s="49">
        <v>-124724.60000000001</v>
      </c>
      <c r="K129" s="49">
        <v>220604.98000000001</v>
      </c>
      <c r="L129" s="49">
        <v>-158965.26000000001</v>
      </c>
      <c r="M129" s="49">
        <v>150853.70999999999</v>
      </c>
      <c r="N129" s="35">
        <f>SUM(B129:M129)</f>
        <v>-52084.400000000023</v>
      </c>
    </row>
  </sheetData>
  <mergeCells count="11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A10:N10"/>
    <mergeCell ref="A11:N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Field</cp:lastModifiedBy>
  <cp:revision>2</cp:revision>
  <dcterms:created xsi:type="dcterms:W3CDTF">2026-01-17T12:48:00Z</dcterms:created>
  <dcterms:modified xsi:type="dcterms:W3CDTF">2026-01-29T12:29:39Z</dcterms:modified>
</cp:coreProperties>
</file>